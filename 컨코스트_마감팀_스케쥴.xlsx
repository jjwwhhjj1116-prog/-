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진행중" sheetId="1" state="visible" r:id="rId1"/>
    <sheet name="📅 업무 달력" sheetId="2" state="visible" r:id="rId2"/>
    <sheet name="설정" sheetId="3" state="visible" r:id="rId3"/>
    <sheet name="작성 가이드" sheetId="4" state="visible" r:id="rId4"/>
    <sheet name="배정" sheetId="5" state="hidden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&quot;%&quot;"/>
    <numFmt numFmtId="166" formatCode="d"/>
    <numFmt numFmtId="167" formatCode="mm-dd"/>
  </numFmts>
  <fonts count="10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FFFFFF"/>
      <sz val="10"/>
    </font>
    <font>
      <b val="1"/>
      <color rgb="00000000"/>
      <sz val="9"/>
    </font>
    <font>
      <b val="1"/>
      <color rgb="00000000"/>
      <sz val="11"/>
    </font>
    <font>
      <color rgb="00000000"/>
      <sz val="7"/>
    </font>
    <font>
      <b val="1"/>
      <color rgb="00000000"/>
      <sz val="10"/>
    </font>
    <font>
      <sz val="9"/>
    </font>
    <font>
      <b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  <border>
      <left style="thin">
        <color rgb="00C8C8C8"/>
      </left>
      <right/>
      <top/>
      <bottom/>
      <diagonal/>
    </border>
    <border>
      <left style="thin">
        <color rgb="00C8C8C8"/>
      </left>
      <right style="thin">
        <color rgb="00C8C8C8"/>
      </right>
      <top/>
      <bottom/>
      <diagonal/>
    </border>
    <border>
      <left style="thin">
        <color rgb="00C8C8C8"/>
      </left>
      <right style="thin">
        <color rgb="00C8C8C8"/>
      </right>
      <top/>
      <bottom style="thin">
        <color rgb="00C8C8C8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7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dxfs count="2">
    <dxf>
      <font>
        <color rgb="00808080"/>
      </font>
      <fill>
        <patternFill patternType="solid">
          <bgColor rgb="00EDEDED"/>
        </patternFill>
      </fill>
    </dxf>
    <dxf>
      <fill>
        <patternFill patternType="solid">
          <bgColor rgb="00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4" customWidth="1" min="4" max="4"/>
    <col width="16" customWidth="1" min="5" max="5"/>
    <col width="9" customWidth="1" min="6" max="6"/>
    <col width="7" customWidth="1" min="7" max="7"/>
    <col width="12" customWidth="1" min="8" max="8"/>
    <col width="9" customWidth="1" min="9" max="9"/>
    <col width="9" customWidth="1" min="10" max="10"/>
    <col width="9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1" customWidth="1" min="21" max="21"/>
    <col width="11" customWidth="1" min="22" max="22"/>
    <col width="11" customWidth="1" min="23" max="23"/>
    <col width="8" customWidth="1" min="24" max="24"/>
    <col width="9" customWidth="1" min="25" max="25"/>
    <col width="8" customWidth="1" min="26" max="26"/>
    <col width="10" customWidth="1" min="27" max="27"/>
    <col width="24" customWidth="1" min="28" max="28"/>
    <col width="8" customWidth="1" min="29" max="29"/>
    <col width="11" customWidth="1" min="30" max="30"/>
    <col width="20" customWidth="1" min="31" max="31"/>
    <col width="9" customWidth="1" min="32" max="32"/>
    <col width="9" customWidth="1" min="33" max="33"/>
    <col width="9" customWidth="1" min="34" max="34"/>
  </cols>
  <sheetData>
    <row r="1">
      <c r="A1" s="1" t="inlineStr">
        <is>
          <t>마감팀 프로젝트 일정 — 담당자만 입력하면 [업무 달력]이 직원별로 실시간 자동 정리됩니다</t>
        </is>
      </c>
    </row>
    <row r="3" ht="30" customHeight="1">
      <c r="B3" s="2" t="inlineStr">
        <is>
          <t>기본정보</t>
        </is>
      </c>
      <c r="C3" s="3" t="n"/>
      <c r="D3" s="3" t="n"/>
      <c r="E3" s="3" t="n"/>
      <c r="F3" s="3" t="n"/>
      <c r="G3" s="3" t="n"/>
      <c r="H3" s="4" t="n"/>
      <c r="I3" s="2" t="inlineStr">
        <is>
          <t>공종 담당</t>
        </is>
      </c>
      <c r="J3" s="3" t="n"/>
      <c r="K3" s="4" t="n"/>
      <c r="L3" s="2" t="inlineStr">
        <is>
          <t>마감 세부담당</t>
        </is>
      </c>
      <c r="M3" s="3" t="n"/>
      <c r="N3" s="3" t="n"/>
      <c r="O3" s="3" t="n"/>
      <c r="P3" s="3" t="n"/>
      <c r="Q3" s="3" t="n"/>
      <c r="R3" s="3" t="n"/>
      <c r="S3" s="3" t="n"/>
      <c r="T3" s="4" t="n"/>
      <c r="U3" s="2" t="inlineStr">
        <is>
          <t>일정 / 상태</t>
        </is>
      </c>
      <c r="V3" s="3" t="n"/>
      <c r="W3" s="3" t="n"/>
      <c r="X3" s="3" t="n"/>
      <c r="Y3" s="3" t="n"/>
      <c r="Z3" s="3" t="n"/>
      <c r="AA3" s="3" t="n"/>
      <c r="AB3" s="4" t="n"/>
      <c r="AC3" s="2" t="inlineStr">
        <is>
          <t>회의일정</t>
        </is>
      </c>
      <c r="AD3" s="3" t="n"/>
      <c r="AE3" s="4" t="n"/>
      <c r="AF3" s="2" t="inlineStr">
        <is>
          <t>이슈사항</t>
        </is>
      </c>
      <c r="AG3" s="3" t="n"/>
      <c r="AH3" s="4" t="n"/>
    </row>
    <row r="4" ht="30" customHeight="1">
      <c r="B4" s="5" t="inlineStr">
        <is>
          <t>순번</t>
        </is>
      </c>
      <c r="C4" s="5" t="inlineStr">
        <is>
          <t>No</t>
        </is>
      </c>
      <c r="D4" s="5" t="inlineStr">
        <is>
          <t>업무명</t>
        </is>
      </c>
      <c r="E4" s="5" t="inlineStr">
        <is>
          <t>거래처</t>
        </is>
      </c>
      <c r="F4" s="5" t="inlineStr">
        <is>
          <t>연면적</t>
        </is>
      </c>
      <c r="G4" s="5" t="inlineStr">
        <is>
          <t>타입수</t>
        </is>
      </c>
      <c r="H4" s="5" t="inlineStr">
        <is>
          <t>선행작업</t>
        </is>
      </c>
      <c r="I4" s="5" t="inlineStr">
        <is>
          <t>마감</t>
        </is>
      </c>
      <c r="J4" s="5" t="inlineStr">
        <is>
          <t>구조</t>
        </is>
      </c>
      <c r="K4" s="5" t="inlineStr">
        <is>
          <t>토목</t>
        </is>
      </c>
      <c r="L4" s="5" t="inlineStr">
        <is>
          <t>PM</t>
        </is>
      </c>
      <c r="M4" s="5" t="inlineStr">
        <is>
          <t>검토</t>
        </is>
      </c>
      <c r="N4" s="5" t="inlineStr">
        <is>
          <t>내역</t>
        </is>
      </c>
      <c r="O4" s="5" t="inlineStr">
        <is>
          <t>가설</t>
        </is>
      </c>
      <c r="P4" s="5" t="inlineStr">
        <is>
          <t>세대</t>
        </is>
      </c>
      <c r="Q4" s="5" t="inlineStr">
        <is>
          <t>내부</t>
        </is>
      </c>
      <c r="R4" s="5" t="inlineStr">
        <is>
          <t>외부</t>
        </is>
      </c>
      <c r="S4" s="5" t="inlineStr">
        <is>
          <t>창호</t>
        </is>
      </c>
      <c r="T4" s="5" t="inlineStr">
        <is>
          <t>조적</t>
        </is>
      </c>
      <c r="U4" s="5" t="inlineStr">
        <is>
          <t>수주일</t>
        </is>
      </c>
      <c r="V4" s="5" t="inlineStr">
        <is>
          <t>작업시작일</t>
        </is>
      </c>
      <c r="W4" s="5" t="inlineStr">
        <is>
          <t>납품일</t>
        </is>
      </c>
      <c r="X4" s="5" t="inlineStr">
        <is>
          <t>소요일수
(자동)</t>
        </is>
      </c>
      <c r="Y4" s="5" t="inlineStr">
        <is>
          <t>우선순위</t>
        </is>
      </c>
      <c r="Z4" s="5" t="inlineStr">
        <is>
          <t>진행률
(%)</t>
        </is>
      </c>
      <c r="AA4" s="5" t="inlineStr">
        <is>
          <t>현재 상태</t>
        </is>
      </c>
      <c r="AB4" s="5" t="inlineStr">
        <is>
          <t>비고</t>
        </is>
      </c>
      <c r="AC4" s="5" t="inlineStr">
        <is>
          <t>인원</t>
        </is>
      </c>
      <c r="AD4" s="5" t="inlineStr">
        <is>
          <t>일자</t>
        </is>
      </c>
      <c r="AE4" s="5" t="inlineStr">
        <is>
          <t>내용</t>
        </is>
      </c>
      <c r="AF4" s="5" t="inlineStr">
        <is>
          <t>마감</t>
        </is>
      </c>
      <c r="AG4" s="5" t="inlineStr">
        <is>
          <t>구조</t>
        </is>
      </c>
      <c r="AH4" s="5" t="inlineStr">
        <is>
          <t>토목</t>
        </is>
      </c>
    </row>
    <row r="5" ht="30" customHeight="1">
      <c r="B5" s="6">
        <f>IF(D5="","",ROW()-4)</f>
        <v/>
      </c>
      <c r="C5" s="6" t="inlineStr">
        <is>
          <t>2026010</t>
        </is>
      </c>
      <c r="D5" s="7" t="inlineStr">
        <is>
          <t>구리 수택E구역 주택재개발 2,4BL 견적</t>
        </is>
      </c>
      <c r="E5" s="7" t="inlineStr">
        <is>
          <t>대형건설</t>
        </is>
      </c>
      <c r="F5" s="6" t="n">
        <v>95000</v>
      </c>
      <c r="G5" s="6" t="n">
        <v>4</v>
      </c>
      <c r="H5" s="7" t="n"/>
      <c r="I5" s="6" t="inlineStr">
        <is>
          <t>송치영</t>
        </is>
      </c>
      <c r="J5" s="6" t="inlineStr">
        <is>
          <t>신동헌</t>
        </is>
      </c>
      <c r="K5" s="6" t="inlineStr">
        <is>
          <t>X</t>
        </is>
      </c>
      <c r="L5" s="6" t="inlineStr">
        <is>
          <t>송치영</t>
        </is>
      </c>
      <c r="M5" s="6" t="n"/>
      <c r="N5" s="6" t="n"/>
      <c r="O5" s="6" t="n"/>
      <c r="P5" s="6" t="n"/>
      <c r="Q5" s="6" t="n"/>
      <c r="R5" s="6" t="n"/>
      <c r="S5" s="6" t="n"/>
      <c r="T5" s="6" t="inlineStr">
        <is>
          <t>VIET 조적팀</t>
        </is>
      </c>
      <c r="U5" s="8" t="n"/>
      <c r="V5" s="8" t="n">
        <v>46087</v>
      </c>
      <c r="W5" s="8" t="n">
        <v>46101</v>
      </c>
      <c r="X5" s="6">
        <f>IF(AND(V5&lt;&gt;"",W5&lt;&gt;""),NETWORKDAYS(V5,W5),"")</f>
        <v/>
      </c>
      <c r="Y5" s="6" t="inlineStr">
        <is>
          <t>보통</t>
        </is>
      </c>
      <c r="Z5" s="9" t="n">
        <v>60</v>
      </c>
      <c r="AA5" s="6" t="inlineStr">
        <is>
          <t>진행중</t>
        </is>
      </c>
      <c r="AB5" s="7" t="n"/>
      <c r="AC5" s="6" t="n"/>
      <c r="AD5" s="8" t="n"/>
      <c r="AE5" s="7" t="n"/>
      <c r="AF5" s="6" t="n"/>
      <c r="AG5" s="6" t="n"/>
      <c r="AH5" s="6" t="n"/>
    </row>
    <row r="6" ht="30" customHeight="1">
      <c r="B6" s="6">
        <f>IF(D6="","",ROW()-4)</f>
        <v/>
      </c>
      <c r="C6" s="6" t="inlineStr">
        <is>
          <t>2026011</t>
        </is>
      </c>
      <c r="D6" s="7" t="inlineStr">
        <is>
          <t>광양바이오매스 발전소 EPC 설계변경</t>
        </is>
      </c>
      <c r="E6" s="7" t="inlineStr">
        <is>
          <t>엔지니어링</t>
        </is>
      </c>
      <c r="F6" s="6" t="n">
        <v>22000</v>
      </c>
      <c r="G6" s="6" t="n">
        <v>1</v>
      </c>
      <c r="H6" s="7" t="n"/>
      <c r="I6" s="6" t="inlineStr">
        <is>
          <t>최영배</t>
        </is>
      </c>
      <c r="J6" s="6" t="inlineStr">
        <is>
          <t>X</t>
        </is>
      </c>
      <c r="K6" s="6" t="inlineStr">
        <is>
          <t>오승균</t>
        </is>
      </c>
      <c r="L6" s="6" t="inlineStr">
        <is>
          <t>최영배</t>
        </is>
      </c>
      <c r="M6" s="6" t="n"/>
      <c r="N6" s="6" t="n"/>
      <c r="O6" s="6" t="n"/>
      <c r="P6" s="6" t="n"/>
      <c r="Q6" s="6" t="n"/>
      <c r="R6" s="6" t="n"/>
      <c r="S6" s="6" t="n"/>
      <c r="T6" s="6" t="n"/>
      <c r="U6" s="8" t="n"/>
      <c r="V6" s="8" t="n">
        <v>46092</v>
      </c>
      <c r="W6" s="8" t="n">
        <v>46101</v>
      </c>
      <c r="X6" s="6">
        <f>IF(AND(V6&lt;&gt;"",W6&lt;&gt;""),NETWORKDAYS(V6,W6),"")</f>
        <v/>
      </c>
      <c r="Y6" s="6" t="inlineStr">
        <is>
          <t>높음</t>
        </is>
      </c>
      <c r="Z6" s="9" t="n">
        <v>80</v>
      </c>
      <c r="AA6" s="6" t="inlineStr">
        <is>
          <t>진행중</t>
        </is>
      </c>
      <c r="AB6" s="7" t="inlineStr">
        <is>
          <t>설계변경분</t>
        </is>
      </c>
      <c r="AC6" s="6" t="n"/>
      <c r="AD6" s="8" t="n"/>
      <c r="AE6" s="7" t="n"/>
      <c r="AF6" s="6" t="n"/>
      <c r="AG6" s="6" t="n"/>
      <c r="AH6" s="6" t="n"/>
    </row>
    <row r="7" ht="30" customHeight="1">
      <c r="B7" s="6">
        <f>IF(D7="","",ROW()-4)</f>
        <v/>
      </c>
      <c r="C7" s="6" t="inlineStr">
        <is>
          <t>2026012</t>
        </is>
      </c>
      <c r="D7" s="7" t="inlineStr">
        <is>
          <t>평택고덕 A-64BL 통합형 공공주택</t>
        </is>
      </c>
      <c r="E7" s="7" t="inlineStr">
        <is>
          <t>종합건설</t>
        </is>
      </c>
      <c r="F7" s="6" t="n">
        <v>64000</v>
      </c>
      <c r="G7" s="6" t="n">
        <v>3</v>
      </c>
      <c r="H7" s="7" t="inlineStr">
        <is>
          <t>도면접수</t>
        </is>
      </c>
      <c r="I7" s="6" t="inlineStr">
        <is>
          <t>조한빈</t>
        </is>
      </c>
      <c r="J7" s="6" t="inlineStr">
        <is>
          <t>박용진</t>
        </is>
      </c>
      <c r="K7" s="6" t="inlineStr">
        <is>
          <t>X</t>
        </is>
      </c>
      <c r="L7" s="6" t="inlineStr">
        <is>
          <t>조한빈</t>
        </is>
      </c>
      <c r="M7" s="6" t="n"/>
      <c r="N7" s="6" t="n"/>
      <c r="O7" s="6" t="n"/>
      <c r="P7" s="6" t="n"/>
      <c r="Q7" s="6" t="inlineStr">
        <is>
          <t>임승주</t>
        </is>
      </c>
      <c r="R7" s="6" t="n"/>
      <c r="S7" s="6" t="inlineStr">
        <is>
          <t>VIET 창호팀</t>
        </is>
      </c>
      <c r="T7" s="6" t="inlineStr">
        <is>
          <t>VIET 조적팀</t>
        </is>
      </c>
      <c r="U7" s="8" t="n"/>
      <c r="V7" s="8" t="n">
        <v>46092</v>
      </c>
      <c r="W7" s="8" t="n">
        <v>46115</v>
      </c>
      <c r="X7" s="6">
        <f>IF(AND(V7&lt;&gt;"",W7&lt;&gt;""),NETWORKDAYS(V7,W7),"")</f>
        <v/>
      </c>
      <c r="Y7" s="6" t="inlineStr">
        <is>
          <t>긴급</t>
        </is>
      </c>
      <c r="Z7" s="9" t="n">
        <v>30</v>
      </c>
      <c r="AA7" s="6" t="inlineStr">
        <is>
          <t>진행중</t>
        </is>
      </c>
      <c r="AB7" s="7" t="inlineStr">
        <is>
          <t>부대·공용부</t>
        </is>
      </c>
      <c r="AC7" s="6" t="n"/>
      <c r="AD7" s="8" t="n"/>
      <c r="AE7" s="7" t="n"/>
      <c r="AF7" s="6" t="n"/>
      <c r="AG7" s="6" t="n"/>
      <c r="AH7" s="6" t="n"/>
    </row>
    <row r="8" ht="30" customHeight="1">
      <c r="B8" s="6">
        <f>IF(D8="","",ROW()-4)</f>
        <v/>
      </c>
      <c r="C8" s="6" t="inlineStr">
        <is>
          <t>2026013</t>
        </is>
      </c>
      <c r="D8" s="7" t="inlineStr">
        <is>
          <t>남산스퀘어 주거복합</t>
        </is>
      </c>
      <c r="E8" s="7" t="inlineStr">
        <is>
          <t>시행사</t>
        </is>
      </c>
      <c r="F8" s="6" t="n">
        <v>48000</v>
      </c>
      <c r="G8" s="6" t="n">
        <v>2</v>
      </c>
      <c r="H8" s="7" t="n"/>
      <c r="I8" s="6" t="inlineStr">
        <is>
          <t>이은지</t>
        </is>
      </c>
      <c r="J8" s="6" t="inlineStr">
        <is>
          <t>X</t>
        </is>
      </c>
      <c r="K8" s="6" t="inlineStr">
        <is>
          <t>X</t>
        </is>
      </c>
      <c r="L8" s="6" t="inlineStr">
        <is>
          <t>이은지</t>
        </is>
      </c>
      <c r="M8" s="6" t="n"/>
      <c r="N8" s="6" t="n"/>
      <c r="O8" s="6" t="n"/>
      <c r="P8" s="6" t="inlineStr">
        <is>
          <t>이은지</t>
        </is>
      </c>
      <c r="Q8" s="6" t="n"/>
      <c r="R8" s="6" t="inlineStr">
        <is>
          <t>임창열</t>
        </is>
      </c>
      <c r="S8" s="6" t="inlineStr">
        <is>
          <t>김수겸</t>
        </is>
      </c>
      <c r="T8" s="6" t="inlineStr">
        <is>
          <t>김수겸</t>
        </is>
      </c>
      <c r="U8" s="8" t="n"/>
      <c r="V8" s="8" t="n">
        <v>46188</v>
      </c>
      <c r="W8" s="8" t="n">
        <v>46206</v>
      </c>
      <c r="X8" s="6">
        <f>IF(AND(V8&lt;&gt;"",W8&lt;&gt;""),NETWORKDAYS(V8,W8),"")</f>
        <v/>
      </c>
      <c r="Y8" s="6" t="inlineStr">
        <is>
          <t>보통</t>
        </is>
      </c>
      <c r="Z8" s="9" t="n">
        <v>10</v>
      </c>
      <c r="AA8" s="6" t="inlineStr">
        <is>
          <t>시작전</t>
        </is>
      </c>
      <c r="AB8" s="7" t="inlineStr">
        <is>
          <t>김수겸 창호+조적</t>
        </is>
      </c>
      <c r="AC8" s="6" t="n"/>
      <c r="AD8" s="8" t="n"/>
      <c r="AE8" s="7" t="n"/>
      <c r="AF8" s="6" t="n"/>
      <c r="AG8" s="6" t="n"/>
      <c r="AH8" s="6" t="n"/>
    </row>
    <row r="9" ht="30" customHeight="1">
      <c r="B9" s="6">
        <f>IF(D9="","",ROW()-4)</f>
        <v/>
      </c>
      <c r="C9" s="6" t="inlineStr">
        <is>
          <t>2026014</t>
        </is>
      </c>
      <c r="D9" s="7" t="inlineStr">
        <is>
          <t>마이다스아이티 사옥</t>
        </is>
      </c>
      <c r="E9" s="7" t="inlineStr">
        <is>
          <t>건설사</t>
        </is>
      </c>
      <c r="F9" s="6" t="n">
        <v>18000</v>
      </c>
      <c r="G9" s="6" t="n">
        <v>1</v>
      </c>
      <c r="H9" s="7" t="n"/>
      <c r="I9" s="6" t="inlineStr">
        <is>
          <t>조한빈</t>
        </is>
      </c>
      <c r="J9" s="6" t="inlineStr">
        <is>
          <t>X</t>
        </is>
      </c>
      <c r="K9" s="6" t="inlineStr">
        <is>
          <t>X</t>
        </is>
      </c>
      <c r="L9" s="6" t="inlineStr">
        <is>
          <t>조한빈</t>
        </is>
      </c>
      <c r="M9" s="6" t="n"/>
      <c r="N9" s="6" t="n"/>
      <c r="O9" s="6" t="n"/>
      <c r="P9" s="6" t="n"/>
      <c r="Q9" s="6" t="inlineStr">
        <is>
          <t>임승주</t>
        </is>
      </c>
      <c r="R9" s="6" t="n"/>
      <c r="S9" s="6" t="inlineStr">
        <is>
          <t>김수겸</t>
        </is>
      </c>
      <c r="T9" s="6" t="n"/>
      <c r="U9" s="8" t="n"/>
      <c r="V9" s="8" t="n">
        <v>46176</v>
      </c>
      <c r="W9" s="8" t="n">
        <v>46192</v>
      </c>
      <c r="X9" s="6">
        <f>IF(AND(V9&lt;&gt;"",W9&lt;&gt;""),NETWORKDAYS(V9,W9),"")</f>
        <v/>
      </c>
      <c r="Y9" s="6" t="inlineStr">
        <is>
          <t>높음</t>
        </is>
      </c>
      <c r="Z9" s="9" t="n">
        <v>50</v>
      </c>
      <c r="AA9" s="6" t="inlineStr">
        <is>
          <t>진행중</t>
        </is>
      </c>
      <c r="AB9" s="7" t="n"/>
      <c r="AC9" s="6" t="n"/>
      <c r="AD9" s="8" t="n"/>
      <c r="AE9" s="7" t="n"/>
      <c r="AF9" s="6" t="n"/>
      <c r="AG9" s="6" t="n"/>
      <c r="AH9" s="6" t="n"/>
    </row>
    <row r="10" ht="30" customHeight="1">
      <c r="B10" s="6">
        <f>IF(D10="","",ROW()-4)</f>
        <v/>
      </c>
      <c r="C10" s="6" t="inlineStr">
        <is>
          <t>2026015</t>
        </is>
      </c>
      <c r="D10" s="7" t="inlineStr">
        <is>
          <t>위례복정역세권 공동주택</t>
        </is>
      </c>
      <c r="E10" s="7" t="inlineStr">
        <is>
          <t>공공</t>
        </is>
      </c>
      <c r="F10" s="6" t="n">
        <v>72000</v>
      </c>
      <c r="G10" s="6" t="n">
        <v>3</v>
      </c>
      <c r="H10" s="7" t="n"/>
      <c r="I10" s="6" t="inlineStr">
        <is>
          <t>성대용</t>
        </is>
      </c>
      <c r="J10" s="6" t="inlineStr">
        <is>
          <t>장범선</t>
        </is>
      </c>
      <c r="K10" s="6" t="inlineStr">
        <is>
          <t>X</t>
        </is>
      </c>
      <c r="L10" s="6" t="inlineStr">
        <is>
          <t>성대용</t>
        </is>
      </c>
      <c r="M10" s="6" t="n"/>
      <c r="N10" s="6" t="n"/>
      <c r="O10" s="6" t="inlineStr">
        <is>
          <t>원종수</t>
        </is>
      </c>
      <c r="P10" s="6" t="n"/>
      <c r="Q10" s="6" t="n"/>
      <c r="R10" s="6" t="n"/>
      <c r="S10" s="6" t="n"/>
      <c r="T10" s="6" t="n"/>
      <c r="U10" s="8" t="n"/>
      <c r="V10" s="8" t="n">
        <v>46167</v>
      </c>
      <c r="W10" s="8" t="n">
        <v>46185</v>
      </c>
      <c r="X10" s="6">
        <f>IF(AND(V10&lt;&gt;"",W10&lt;&gt;""),NETWORKDAYS(V10,W10),"")</f>
        <v/>
      </c>
      <c r="Y10" s="6" t="inlineStr">
        <is>
          <t>보통</t>
        </is>
      </c>
      <c r="Z10" s="9" t="n">
        <v>100</v>
      </c>
      <c r="AA10" s="6" t="inlineStr">
        <is>
          <t>완료</t>
        </is>
      </c>
      <c r="AB10" s="7" t="inlineStr">
        <is>
          <t>검토완료(달력제외)</t>
        </is>
      </c>
      <c r="AC10" s="6" t="n"/>
      <c r="AD10" s="8" t="n"/>
      <c r="AE10" s="7" t="n"/>
      <c r="AF10" s="6" t="n"/>
      <c r="AG10" s="6" t="n"/>
      <c r="AH10" s="6" t="n"/>
    </row>
    <row r="11" ht="30" customHeight="1">
      <c r="B11" s="6">
        <f>IF(D11="","",ROW()-4)</f>
        <v/>
      </c>
      <c r="C11" s="6" t="n"/>
      <c r="D11" s="7" t="n"/>
      <c r="E11" s="7" t="n"/>
      <c r="F11" s="6" t="n"/>
      <c r="G11" s="6" t="n"/>
      <c r="H11" s="7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8" t="n"/>
      <c r="V11" s="8" t="n"/>
      <c r="W11" s="8" t="n"/>
      <c r="X11" s="6">
        <f>IF(AND(V11&lt;&gt;"",W11&lt;&gt;""),NETWORKDAYS(V11,W11),"")</f>
        <v/>
      </c>
      <c r="Y11" s="6" t="n"/>
      <c r="Z11" s="9" t="n"/>
      <c r="AA11" s="6" t="n"/>
      <c r="AB11" s="7" t="n"/>
      <c r="AC11" s="6" t="n"/>
      <c r="AD11" s="8" t="n"/>
      <c r="AE11" s="7" t="n"/>
      <c r="AF11" s="6" t="n"/>
      <c r="AG11" s="6" t="n"/>
      <c r="AH11" s="6" t="n"/>
    </row>
    <row r="12" ht="30" customHeight="1">
      <c r="B12" s="6">
        <f>IF(D12="","",ROW()-4)</f>
        <v/>
      </c>
      <c r="C12" s="6" t="n"/>
      <c r="D12" s="7" t="n"/>
      <c r="E12" s="7" t="n"/>
      <c r="F12" s="6" t="n"/>
      <c r="G12" s="6" t="n"/>
      <c r="H12" s="7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8" t="n"/>
      <c r="V12" s="8" t="n"/>
      <c r="W12" s="8" t="n"/>
      <c r="X12" s="6">
        <f>IF(AND(V12&lt;&gt;"",W12&lt;&gt;""),NETWORKDAYS(V12,W12),"")</f>
        <v/>
      </c>
      <c r="Y12" s="6" t="n"/>
      <c r="Z12" s="9" t="n"/>
      <c r="AA12" s="6" t="n"/>
      <c r="AB12" s="7" t="n"/>
      <c r="AC12" s="6" t="n"/>
      <c r="AD12" s="8" t="n"/>
      <c r="AE12" s="7" t="n"/>
      <c r="AF12" s="6" t="n"/>
      <c r="AG12" s="6" t="n"/>
      <c r="AH12" s="6" t="n"/>
    </row>
    <row r="13" ht="30" customHeight="1">
      <c r="B13" s="6">
        <f>IF(D13="","",ROW()-4)</f>
        <v/>
      </c>
      <c r="C13" s="6" t="n"/>
      <c r="D13" s="7" t="n"/>
      <c r="E13" s="7" t="n"/>
      <c r="F13" s="6" t="n"/>
      <c r="G13" s="6" t="n"/>
      <c r="H13" s="7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8" t="n"/>
      <c r="V13" s="8" t="n"/>
      <c r="W13" s="8" t="n"/>
      <c r="X13" s="6">
        <f>IF(AND(V13&lt;&gt;"",W13&lt;&gt;""),NETWORKDAYS(V13,W13),"")</f>
        <v/>
      </c>
      <c r="Y13" s="6" t="n"/>
      <c r="Z13" s="9" t="n"/>
      <c r="AA13" s="6" t="n"/>
      <c r="AB13" s="7" t="n"/>
      <c r="AC13" s="6" t="n"/>
      <c r="AD13" s="8" t="n"/>
      <c r="AE13" s="7" t="n"/>
      <c r="AF13" s="6" t="n"/>
      <c r="AG13" s="6" t="n"/>
      <c r="AH13" s="6" t="n"/>
    </row>
    <row r="14" ht="30" customHeight="1">
      <c r="B14" s="6">
        <f>IF(D14="","",ROW()-4)</f>
        <v/>
      </c>
      <c r="C14" s="6" t="n"/>
      <c r="D14" s="7" t="n"/>
      <c r="E14" s="7" t="n"/>
      <c r="F14" s="6" t="n"/>
      <c r="G14" s="6" t="n"/>
      <c r="H14" s="7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8" t="n"/>
      <c r="V14" s="8" t="n"/>
      <c r="W14" s="8" t="n"/>
      <c r="X14" s="6">
        <f>IF(AND(V14&lt;&gt;"",W14&lt;&gt;""),NETWORKDAYS(V14,W14),"")</f>
        <v/>
      </c>
      <c r="Y14" s="6" t="n"/>
      <c r="Z14" s="9" t="n"/>
      <c r="AA14" s="6" t="n"/>
      <c r="AB14" s="7" t="n"/>
      <c r="AC14" s="6" t="n"/>
      <c r="AD14" s="8" t="n"/>
      <c r="AE14" s="7" t="n"/>
      <c r="AF14" s="6" t="n"/>
      <c r="AG14" s="6" t="n"/>
      <c r="AH14" s="6" t="n"/>
    </row>
    <row r="15" ht="30" customHeight="1">
      <c r="B15" s="6">
        <f>IF(D15="","",ROW()-4)</f>
        <v/>
      </c>
      <c r="C15" s="6" t="n"/>
      <c r="D15" s="7" t="n"/>
      <c r="E15" s="7" t="n"/>
      <c r="F15" s="6" t="n"/>
      <c r="G15" s="6" t="n"/>
      <c r="H15" s="7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8" t="n"/>
      <c r="V15" s="8" t="n"/>
      <c r="W15" s="8" t="n"/>
      <c r="X15" s="6">
        <f>IF(AND(V15&lt;&gt;"",W15&lt;&gt;""),NETWORKDAYS(V15,W15),"")</f>
        <v/>
      </c>
      <c r="Y15" s="6" t="n"/>
      <c r="Z15" s="9" t="n"/>
      <c r="AA15" s="6" t="n"/>
      <c r="AB15" s="7" t="n"/>
      <c r="AC15" s="6" t="n"/>
      <c r="AD15" s="8" t="n"/>
      <c r="AE15" s="7" t="n"/>
      <c r="AF15" s="6" t="n"/>
      <c r="AG15" s="6" t="n"/>
      <c r="AH15" s="6" t="n"/>
    </row>
    <row r="16" ht="30" customHeight="1">
      <c r="B16" s="6">
        <f>IF(D16="","",ROW()-4)</f>
        <v/>
      </c>
      <c r="C16" s="6" t="n"/>
      <c r="D16" s="7" t="n"/>
      <c r="E16" s="7" t="n"/>
      <c r="F16" s="6" t="n"/>
      <c r="G16" s="6" t="n"/>
      <c r="H16" s="7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8" t="n"/>
      <c r="V16" s="8" t="n"/>
      <c r="W16" s="8" t="n"/>
      <c r="X16" s="6">
        <f>IF(AND(V16&lt;&gt;"",W16&lt;&gt;""),NETWORKDAYS(V16,W16),"")</f>
        <v/>
      </c>
      <c r="Y16" s="6" t="n"/>
      <c r="Z16" s="9" t="n"/>
      <c r="AA16" s="6" t="n"/>
      <c r="AB16" s="7" t="n"/>
      <c r="AC16" s="6" t="n"/>
      <c r="AD16" s="8" t="n"/>
      <c r="AE16" s="7" t="n"/>
      <c r="AF16" s="6" t="n"/>
      <c r="AG16" s="6" t="n"/>
      <c r="AH16" s="6" t="n"/>
    </row>
    <row r="17" ht="30" customHeight="1">
      <c r="B17" s="6">
        <f>IF(D17="","",ROW()-4)</f>
        <v/>
      </c>
      <c r="C17" s="6" t="n"/>
      <c r="D17" s="7" t="n"/>
      <c r="E17" s="7" t="n"/>
      <c r="F17" s="6" t="n"/>
      <c r="G17" s="6" t="n"/>
      <c r="H17" s="7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8" t="n"/>
      <c r="V17" s="8" t="n"/>
      <c r="W17" s="8" t="n"/>
      <c r="X17" s="6">
        <f>IF(AND(V17&lt;&gt;"",W17&lt;&gt;""),NETWORKDAYS(V17,W17),"")</f>
        <v/>
      </c>
      <c r="Y17" s="6" t="n"/>
      <c r="Z17" s="9" t="n"/>
      <c r="AA17" s="6" t="n"/>
      <c r="AB17" s="7" t="n"/>
      <c r="AC17" s="6" t="n"/>
      <c r="AD17" s="8" t="n"/>
      <c r="AE17" s="7" t="n"/>
      <c r="AF17" s="6" t="n"/>
      <c r="AG17" s="6" t="n"/>
      <c r="AH17" s="6" t="n"/>
    </row>
    <row r="18" ht="30" customHeight="1">
      <c r="B18" s="6">
        <f>IF(D18="","",ROW()-4)</f>
        <v/>
      </c>
      <c r="C18" s="6" t="n"/>
      <c r="D18" s="7" t="n"/>
      <c r="E18" s="7" t="n"/>
      <c r="F18" s="6" t="n"/>
      <c r="G18" s="6" t="n"/>
      <c r="H18" s="7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8" t="n"/>
      <c r="V18" s="8" t="n"/>
      <c r="W18" s="8" t="n"/>
      <c r="X18" s="6">
        <f>IF(AND(V18&lt;&gt;"",W18&lt;&gt;""),NETWORKDAYS(V18,W18),"")</f>
        <v/>
      </c>
      <c r="Y18" s="6" t="n"/>
      <c r="Z18" s="9" t="n"/>
      <c r="AA18" s="6" t="n"/>
      <c r="AB18" s="7" t="n"/>
      <c r="AC18" s="6" t="n"/>
      <c r="AD18" s="8" t="n"/>
      <c r="AE18" s="7" t="n"/>
      <c r="AF18" s="6" t="n"/>
      <c r="AG18" s="6" t="n"/>
      <c r="AH18" s="6" t="n"/>
    </row>
    <row r="19" ht="30" customHeight="1">
      <c r="B19" s="6">
        <f>IF(D19="","",ROW()-4)</f>
        <v/>
      </c>
      <c r="C19" s="6" t="n"/>
      <c r="D19" s="7" t="n"/>
      <c r="E19" s="7" t="n"/>
      <c r="F19" s="6" t="n"/>
      <c r="G19" s="6" t="n"/>
      <c r="H19" s="7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8" t="n"/>
      <c r="V19" s="8" t="n"/>
      <c r="W19" s="8" t="n"/>
      <c r="X19" s="6">
        <f>IF(AND(V19&lt;&gt;"",W19&lt;&gt;""),NETWORKDAYS(V19,W19),"")</f>
        <v/>
      </c>
      <c r="Y19" s="6" t="n"/>
      <c r="Z19" s="9" t="n"/>
      <c r="AA19" s="6" t="n"/>
      <c r="AB19" s="7" t="n"/>
      <c r="AC19" s="6" t="n"/>
      <c r="AD19" s="8" t="n"/>
      <c r="AE19" s="7" t="n"/>
      <c r="AF19" s="6" t="n"/>
      <c r="AG19" s="6" t="n"/>
      <c r="AH19" s="6" t="n"/>
    </row>
    <row r="20" ht="30" customHeight="1">
      <c r="B20" s="6">
        <f>IF(D20="","",ROW()-4)</f>
        <v/>
      </c>
      <c r="C20" s="6" t="n"/>
      <c r="D20" s="7" t="n"/>
      <c r="E20" s="7" t="n"/>
      <c r="F20" s="6" t="n"/>
      <c r="G20" s="6" t="n"/>
      <c r="H20" s="7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8" t="n"/>
      <c r="V20" s="8" t="n"/>
      <c r="W20" s="8" t="n"/>
      <c r="X20" s="6">
        <f>IF(AND(V20&lt;&gt;"",W20&lt;&gt;""),NETWORKDAYS(V20,W20),"")</f>
        <v/>
      </c>
      <c r="Y20" s="6" t="n"/>
      <c r="Z20" s="9" t="n"/>
      <c r="AA20" s="6" t="n"/>
      <c r="AB20" s="7" t="n"/>
      <c r="AC20" s="6" t="n"/>
      <c r="AD20" s="8" t="n"/>
      <c r="AE20" s="7" t="n"/>
      <c r="AF20" s="6" t="n"/>
      <c r="AG20" s="6" t="n"/>
      <c r="AH20" s="6" t="n"/>
    </row>
    <row r="21" ht="30" customHeight="1">
      <c r="B21" s="6">
        <f>IF(D21="","",ROW()-4)</f>
        <v/>
      </c>
      <c r="C21" s="6" t="n"/>
      <c r="D21" s="7" t="n"/>
      <c r="E21" s="7" t="n"/>
      <c r="F21" s="6" t="n"/>
      <c r="G21" s="6" t="n"/>
      <c r="H21" s="7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8" t="n"/>
      <c r="V21" s="8" t="n"/>
      <c r="W21" s="8" t="n"/>
      <c r="X21" s="6">
        <f>IF(AND(V21&lt;&gt;"",W21&lt;&gt;""),NETWORKDAYS(V21,W21),"")</f>
        <v/>
      </c>
      <c r="Y21" s="6" t="n"/>
      <c r="Z21" s="9" t="n"/>
      <c r="AA21" s="6" t="n"/>
      <c r="AB21" s="7" t="n"/>
      <c r="AC21" s="6" t="n"/>
      <c r="AD21" s="8" t="n"/>
      <c r="AE21" s="7" t="n"/>
      <c r="AF21" s="6" t="n"/>
      <c r="AG21" s="6" t="n"/>
      <c r="AH21" s="6" t="n"/>
    </row>
    <row r="22" ht="30" customHeight="1">
      <c r="B22" s="6">
        <f>IF(D22="","",ROW()-4)</f>
        <v/>
      </c>
      <c r="C22" s="6" t="n"/>
      <c r="D22" s="7" t="n"/>
      <c r="E22" s="7" t="n"/>
      <c r="F22" s="6" t="n"/>
      <c r="G22" s="6" t="n"/>
      <c r="H22" s="7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8" t="n"/>
      <c r="V22" s="8" t="n"/>
      <c r="W22" s="8" t="n"/>
      <c r="X22" s="6">
        <f>IF(AND(V22&lt;&gt;"",W22&lt;&gt;""),NETWORKDAYS(V22,W22),"")</f>
        <v/>
      </c>
      <c r="Y22" s="6" t="n"/>
      <c r="Z22" s="9" t="n"/>
      <c r="AA22" s="6" t="n"/>
      <c r="AB22" s="7" t="n"/>
      <c r="AC22" s="6" t="n"/>
      <c r="AD22" s="8" t="n"/>
      <c r="AE22" s="7" t="n"/>
      <c r="AF22" s="6" t="n"/>
      <c r="AG22" s="6" t="n"/>
      <c r="AH22" s="6" t="n"/>
    </row>
    <row r="23" ht="30" customHeight="1">
      <c r="B23" s="6">
        <f>IF(D23="","",ROW()-4)</f>
        <v/>
      </c>
      <c r="C23" s="6" t="n"/>
      <c r="D23" s="7" t="n"/>
      <c r="E23" s="7" t="n"/>
      <c r="F23" s="6" t="n"/>
      <c r="G23" s="6" t="n"/>
      <c r="H23" s="7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8" t="n"/>
      <c r="V23" s="8" t="n"/>
      <c r="W23" s="8" t="n"/>
      <c r="X23" s="6">
        <f>IF(AND(V23&lt;&gt;"",W23&lt;&gt;""),NETWORKDAYS(V23,W23),"")</f>
        <v/>
      </c>
      <c r="Y23" s="6" t="n"/>
      <c r="Z23" s="9" t="n"/>
      <c r="AA23" s="6" t="n"/>
      <c r="AB23" s="7" t="n"/>
      <c r="AC23" s="6" t="n"/>
      <c r="AD23" s="8" t="n"/>
      <c r="AE23" s="7" t="n"/>
      <c r="AF23" s="6" t="n"/>
      <c r="AG23" s="6" t="n"/>
      <c r="AH23" s="6" t="n"/>
    </row>
    <row r="24" ht="30" customHeight="1">
      <c r="B24" s="6">
        <f>IF(D24="","",ROW()-4)</f>
        <v/>
      </c>
      <c r="C24" s="6" t="n"/>
      <c r="D24" s="7" t="n"/>
      <c r="E24" s="7" t="n"/>
      <c r="F24" s="6" t="n"/>
      <c r="G24" s="6" t="n"/>
      <c r="H24" s="7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8" t="n"/>
      <c r="V24" s="8" t="n"/>
      <c r="W24" s="8" t="n"/>
      <c r="X24" s="6">
        <f>IF(AND(V24&lt;&gt;"",W24&lt;&gt;""),NETWORKDAYS(V24,W24),"")</f>
        <v/>
      </c>
      <c r="Y24" s="6" t="n"/>
      <c r="Z24" s="9" t="n"/>
      <c r="AA24" s="6" t="n"/>
      <c r="AB24" s="7" t="n"/>
      <c r="AC24" s="6" t="n"/>
      <c r="AD24" s="8" t="n"/>
      <c r="AE24" s="7" t="n"/>
      <c r="AF24" s="6" t="n"/>
      <c r="AG24" s="6" t="n"/>
      <c r="AH24" s="6" t="n"/>
    </row>
    <row r="25" ht="30" customHeight="1">
      <c r="B25" s="6">
        <f>IF(D25="","",ROW()-4)</f>
        <v/>
      </c>
      <c r="C25" s="6" t="n"/>
      <c r="D25" s="7" t="n"/>
      <c r="E25" s="7" t="n"/>
      <c r="F25" s="6" t="n"/>
      <c r="G25" s="6" t="n"/>
      <c r="H25" s="7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8" t="n"/>
      <c r="V25" s="8" t="n"/>
      <c r="W25" s="8" t="n"/>
      <c r="X25" s="6">
        <f>IF(AND(V25&lt;&gt;"",W25&lt;&gt;""),NETWORKDAYS(V25,W25),"")</f>
        <v/>
      </c>
      <c r="Y25" s="6" t="n"/>
      <c r="Z25" s="9" t="n"/>
      <c r="AA25" s="6" t="n"/>
      <c r="AB25" s="7" t="n"/>
      <c r="AC25" s="6" t="n"/>
      <c r="AD25" s="8" t="n"/>
      <c r="AE25" s="7" t="n"/>
      <c r="AF25" s="6" t="n"/>
      <c r="AG25" s="6" t="n"/>
      <c r="AH25" s="6" t="n"/>
    </row>
    <row r="26" ht="30" customHeight="1">
      <c r="B26" s="6">
        <f>IF(D26="","",ROW()-4)</f>
        <v/>
      </c>
      <c r="C26" s="6" t="n"/>
      <c r="D26" s="7" t="n"/>
      <c r="E26" s="7" t="n"/>
      <c r="F26" s="6" t="n"/>
      <c r="G26" s="6" t="n"/>
      <c r="H26" s="7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8" t="n"/>
      <c r="V26" s="8" t="n"/>
      <c r="W26" s="8" t="n"/>
      <c r="X26" s="6">
        <f>IF(AND(V26&lt;&gt;"",W26&lt;&gt;""),NETWORKDAYS(V26,W26),"")</f>
        <v/>
      </c>
      <c r="Y26" s="6" t="n"/>
      <c r="Z26" s="9" t="n"/>
      <c r="AA26" s="6" t="n"/>
      <c r="AB26" s="7" t="n"/>
      <c r="AC26" s="6" t="n"/>
      <c r="AD26" s="8" t="n"/>
      <c r="AE26" s="7" t="n"/>
      <c r="AF26" s="6" t="n"/>
      <c r="AG26" s="6" t="n"/>
      <c r="AH26" s="6" t="n"/>
    </row>
    <row r="27" ht="30" customHeight="1">
      <c r="B27" s="6">
        <f>IF(D27="","",ROW()-4)</f>
        <v/>
      </c>
      <c r="C27" s="6" t="n"/>
      <c r="D27" s="7" t="n"/>
      <c r="E27" s="7" t="n"/>
      <c r="F27" s="6" t="n"/>
      <c r="G27" s="6" t="n"/>
      <c r="H27" s="7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8" t="n"/>
      <c r="V27" s="8" t="n"/>
      <c r="W27" s="8" t="n"/>
      <c r="X27" s="6">
        <f>IF(AND(V27&lt;&gt;"",W27&lt;&gt;""),NETWORKDAYS(V27,W27),"")</f>
        <v/>
      </c>
      <c r="Y27" s="6" t="n"/>
      <c r="Z27" s="9" t="n"/>
      <c r="AA27" s="6" t="n"/>
      <c r="AB27" s="7" t="n"/>
      <c r="AC27" s="6" t="n"/>
      <c r="AD27" s="8" t="n"/>
      <c r="AE27" s="7" t="n"/>
      <c r="AF27" s="6" t="n"/>
      <c r="AG27" s="6" t="n"/>
      <c r="AH27" s="6" t="n"/>
    </row>
    <row r="28" ht="30" customHeight="1">
      <c r="B28" s="6">
        <f>IF(D28="","",ROW()-4)</f>
        <v/>
      </c>
      <c r="C28" s="6" t="n"/>
      <c r="D28" s="7" t="n"/>
      <c r="E28" s="7" t="n"/>
      <c r="F28" s="6" t="n"/>
      <c r="G28" s="6" t="n"/>
      <c r="H28" s="7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8" t="n"/>
      <c r="V28" s="8" t="n"/>
      <c r="W28" s="8" t="n"/>
      <c r="X28" s="6">
        <f>IF(AND(V28&lt;&gt;"",W28&lt;&gt;""),NETWORKDAYS(V28,W28),"")</f>
        <v/>
      </c>
      <c r="Y28" s="6" t="n"/>
      <c r="Z28" s="9" t="n"/>
      <c r="AA28" s="6" t="n"/>
      <c r="AB28" s="7" t="n"/>
      <c r="AC28" s="6" t="n"/>
      <c r="AD28" s="8" t="n"/>
      <c r="AE28" s="7" t="n"/>
      <c r="AF28" s="6" t="n"/>
      <c r="AG28" s="6" t="n"/>
      <c r="AH28" s="6" t="n"/>
    </row>
    <row r="29" ht="30" customHeight="1">
      <c r="B29" s="6">
        <f>IF(D29="","",ROW()-4)</f>
        <v/>
      </c>
      <c r="C29" s="6" t="n"/>
      <c r="D29" s="7" t="n"/>
      <c r="E29" s="7" t="n"/>
      <c r="F29" s="6" t="n"/>
      <c r="G29" s="6" t="n"/>
      <c r="H29" s="7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8" t="n"/>
      <c r="V29" s="8" t="n"/>
      <c r="W29" s="8" t="n"/>
      <c r="X29" s="6">
        <f>IF(AND(V29&lt;&gt;"",W29&lt;&gt;""),NETWORKDAYS(V29,W29),"")</f>
        <v/>
      </c>
      <c r="Y29" s="6" t="n"/>
      <c r="Z29" s="9" t="n"/>
      <c r="AA29" s="6" t="n"/>
      <c r="AB29" s="7" t="n"/>
      <c r="AC29" s="6" t="n"/>
      <c r="AD29" s="8" t="n"/>
      <c r="AE29" s="7" t="n"/>
      <c r="AF29" s="6" t="n"/>
      <c r="AG29" s="6" t="n"/>
      <c r="AH29" s="6" t="n"/>
    </row>
    <row r="30" ht="30" customHeight="1">
      <c r="B30" s="6">
        <f>IF(D30="","",ROW()-4)</f>
        <v/>
      </c>
      <c r="C30" s="6" t="n"/>
      <c r="D30" s="7" t="n"/>
      <c r="E30" s="7" t="n"/>
      <c r="F30" s="6" t="n"/>
      <c r="G30" s="6" t="n"/>
      <c r="H30" s="7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8" t="n"/>
      <c r="V30" s="8" t="n"/>
      <c r="W30" s="8" t="n"/>
      <c r="X30" s="6">
        <f>IF(AND(V30&lt;&gt;"",W30&lt;&gt;""),NETWORKDAYS(V30,W30),"")</f>
        <v/>
      </c>
      <c r="Y30" s="6" t="n"/>
      <c r="Z30" s="9" t="n"/>
      <c r="AA30" s="6" t="n"/>
      <c r="AB30" s="7" t="n"/>
      <c r="AC30" s="6" t="n"/>
      <c r="AD30" s="8" t="n"/>
      <c r="AE30" s="7" t="n"/>
      <c r="AF30" s="6" t="n"/>
      <c r="AG30" s="6" t="n"/>
      <c r="AH30" s="6" t="n"/>
    </row>
    <row r="31" ht="30" customHeight="1">
      <c r="B31" s="6">
        <f>IF(D31="","",ROW()-4)</f>
        <v/>
      </c>
      <c r="C31" s="6" t="n"/>
      <c r="D31" s="7" t="n"/>
      <c r="E31" s="7" t="n"/>
      <c r="F31" s="6" t="n"/>
      <c r="G31" s="6" t="n"/>
      <c r="H31" s="7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8" t="n"/>
      <c r="V31" s="8" t="n"/>
      <c r="W31" s="8" t="n"/>
      <c r="X31" s="6">
        <f>IF(AND(V31&lt;&gt;"",W31&lt;&gt;""),NETWORKDAYS(V31,W31),"")</f>
        <v/>
      </c>
      <c r="Y31" s="6" t="n"/>
      <c r="Z31" s="9" t="n"/>
      <c r="AA31" s="6" t="n"/>
      <c r="AB31" s="7" t="n"/>
      <c r="AC31" s="6" t="n"/>
      <c r="AD31" s="8" t="n"/>
      <c r="AE31" s="7" t="n"/>
      <c r="AF31" s="6" t="n"/>
      <c r="AG31" s="6" t="n"/>
      <c r="AH31" s="6" t="n"/>
    </row>
    <row r="32" ht="30" customHeight="1">
      <c r="B32" s="6">
        <f>IF(D32="","",ROW()-4)</f>
        <v/>
      </c>
      <c r="C32" s="6" t="n"/>
      <c r="D32" s="7" t="n"/>
      <c r="E32" s="7" t="n"/>
      <c r="F32" s="6" t="n"/>
      <c r="G32" s="6" t="n"/>
      <c r="H32" s="7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8" t="n"/>
      <c r="V32" s="8" t="n"/>
      <c r="W32" s="8" t="n"/>
      <c r="X32" s="6">
        <f>IF(AND(V32&lt;&gt;"",W32&lt;&gt;""),NETWORKDAYS(V32,W32),"")</f>
        <v/>
      </c>
      <c r="Y32" s="6" t="n"/>
      <c r="Z32" s="9" t="n"/>
      <c r="AA32" s="6" t="n"/>
      <c r="AB32" s="7" t="n"/>
      <c r="AC32" s="6" t="n"/>
      <c r="AD32" s="8" t="n"/>
      <c r="AE32" s="7" t="n"/>
      <c r="AF32" s="6" t="n"/>
      <c r="AG32" s="6" t="n"/>
      <c r="AH32" s="6" t="n"/>
    </row>
    <row r="33" ht="30" customHeight="1">
      <c r="B33" s="6">
        <f>IF(D33="","",ROW()-4)</f>
        <v/>
      </c>
      <c r="C33" s="6" t="n"/>
      <c r="D33" s="7" t="n"/>
      <c r="E33" s="7" t="n"/>
      <c r="F33" s="6" t="n"/>
      <c r="G33" s="6" t="n"/>
      <c r="H33" s="7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8" t="n"/>
      <c r="V33" s="8" t="n"/>
      <c r="W33" s="8" t="n"/>
      <c r="X33" s="6">
        <f>IF(AND(V33&lt;&gt;"",W33&lt;&gt;""),NETWORKDAYS(V33,W33),"")</f>
        <v/>
      </c>
      <c r="Y33" s="6" t="n"/>
      <c r="Z33" s="9" t="n"/>
      <c r="AA33" s="6" t="n"/>
      <c r="AB33" s="7" t="n"/>
      <c r="AC33" s="6" t="n"/>
      <c r="AD33" s="8" t="n"/>
      <c r="AE33" s="7" t="n"/>
      <c r="AF33" s="6" t="n"/>
      <c r="AG33" s="6" t="n"/>
      <c r="AH33" s="6" t="n"/>
    </row>
    <row r="34" ht="30" customHeight="1">
      <c r="B34" s="6">
        <f>IF(D34="","",ROW()-4)</f>
        <v/>
      </c>
      <c r="C34" s="6" t="n"/>
      <c r="D34" s="7" t="n"/>
      <c r="E34" s="7" t="n"/>
      <c r="F34" s="6" t="n"/>
      <c r="G34" s="6" t="n"/>
      <c r="H34" s="7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8" t="n"/>
      <c r="V34" s="8" t="n"/>
      <c r="W34" s="8" t="n"/>
      <c r="X34" s="6">
        <f>IF(AND(V34&lt;&gt;"",W34&lt;&gt;""),NETWORKDAYS(V34,W34),"")</f>
        <v/>
      </c>
      <c r="Y34" s="6" t="n"/>
      <c r="Z34" s="9" t="n"/>
      <c r="AA34" s="6" t="n"/>
      <c r="AB34" s="7" t="n"/>
      <c r="AC34" s="6" t="n"/>
      <c r="AD34" s="8" t="n"/>
      <c r="AE34" s="7" t="n"/>
      <c r="AF34" s="6" t="n"/>
      <c r="AG34" s="6" t="n"/>
      <c r="AH34" s="6" t="n"/>
    </row>
    <row r="35" ht="30" customHeight="1">
      <c r="B35" s="6">
        <f>IF(D35="","",ROW()-4)</f>
        <v/>
      </c>
      <c r="C35" s="6" t="n"/>
      <c r="D35" s="7" t="n"/>
      <c r="E35" s="7" t="n"/>
      <c r="F35" s="6" t="n"/>
      <c r="G35" s="6" t="n"/>
      <c r="H35" s="7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8" t="n"/>
      <c r="V35" s="8" t="n"/>
      <c r="W35" s="8" t="n"/>
      <c r="X35" s="6">
        <f>IF(AND(V35&lt;&gt;"",W35&lt;&gt;""),NETWORKDAYS(V35,W35),"")</f>
        <v/>
      </c>
      <c r="Y35" s="6" t="n"/>
      <c r="Z35" s="9" t="n"/>
      <c r="AA35" s="6" t="n"/>
      <c r="AB35" s="7" t="n"/>
      <c r="AC35" s="6" t="n"/>
      <c r="AD35" s="8" t="n"/>
      <c r="AE35" s="7" t="n"/>
      <c r="AF35" s="6" t="n"/>
      <c r="AG35" s="6" t="n"/>
      <c r="AH35" s="6" t="n"/>
    </row>
    <row r="36" ht="30" customHeight="1">
      <c r="B36" s="6">
        <f>IF(D36="","",ROW()-4)</f>
        <v/>
      </c>
      <c r="C36" s="6" t="n"/>
      <c r="D36" s="7" t="n"/>
      <c r="E36" s="7" t="n"/>
      <c r="F36" s="6" t="n"/>
      <c r="G36" s="6" t="n"/>
      <c r="H36" s="7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8" t="n"/>
      <c r="V36" s="8" t="n"/>
      <c r="W36" s="8" t="n"/>
      <c r="X36" s="6">
        <f>IF(AND(V36&lt;&gt;"",W36&lt;&gt;""),NETWORKDAYS(V36,W36),"")</f>
        <v/>
      </c>
      <c r="Y36" s="6" t="n"/>
      <c r="Z36" s="9" t="n"/>
      <c r="AA36" s="6" t="n"/>
      <c r="AB36" s="7" t="n"/>
      <c r="AC36" s="6" t="n"/>
      <c r="AD36" s="8" t="n"/>
      <c r="AE36" s="7" t="n"/>
      <c r="AF36" s="6" t="n"/>
      <c r="AG36" s="6" t="n"/>
      <c r="AH36" s="6" t="n"/>
    </row>
    <row r="37" ht="30" customHeight="1">
      <c r="B37" s="6">
        <f>IF(D37="","",ROW()-4)</f>
        <v/>
      </c>
      <c r="C37" s="6" t="n"/>
      <c r="D37" s="7" t="n"/>
      <c r="E37" s="7" t="n"/>
      <c r="F37" s="6" t="n"/>
      <c r="G37" s="6" t="n"/>
      <c r="H37" s="7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8" t="n"/>
      <c r="V37" s="8" t="n"/>
      <c r="W37" s="8" t="n"/>
      <c r="X37" s="6">
        <f>IF(AND(V37&lt;&gt;"",W37&lt;&gt;""),NETWORKDAYS(V37,W37),"")</f>
        <v/>
      </c>
      <c r="Y37" s="6" t="n"/>
      <c r="Z37" s="9" t="n"/>
      <c r="AA37" s="6" t="n"/>
      <c r="AB37" s="7" t="n"/>
      <c r="AC37" s="6" t="n"/>
      <c r="AD37" s="8" t="n"/>
      <c r="AE37" s="7" t="n"/>
      <c r="AF37" s="6" t="n"/>
      <c r="AG37" s="6" t="n"/>
      <c r="AH37" s="6" t="n"/>
    </row>
    <row r="38" ht="30" customHeight="1">
      <c r="B38" s="6">
        <f>IF(D38="","",ROW()-4)</f>
        <v/>
      </c>
      <c r="C38" s="6" t="n"/>
      <c r="D38" s="7" t="n"/>
      <c r="E38" s="7" t="n"/>
      <c r="F38" s="6" t="n"/>
      <c r="G38" s="6" t="n"/>
      <c r="H38" s="7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8" t="n"/>
      <c r="V38" s="8" t="n"/>
      <c r="W38" s="8" t="n"/>
      <c r="X38" s="6">
        <f>IF(AND(V38&lt;&gt;"",W38&lt;&gt;""),NETWORKDAYS(V38,W38),"")</f>
        <v/>
      </c>
      <c r="Y38" s="6" t="n"/>
      <c r="Z38" s="9" t="n"/>
      <c r="AA38" s="6" t="n"/>
      <c r="AB38" s="7" t="n"/>
      <c r="AC38" s="6" t="n"/>
      <c r="AD38" s="8" t="n"/>
      <c r="AE38" s="7" t="n"/>
      <c r="AF38" s="6" t="n"/>
      <c r="AG38" s="6" t="n"/>
      <c r="AH38" s="6" t="n"/>
    </row>
    <row r="39" ht="30" customHeight="1">
      <c r="B39" s="6">
        <f>IF(D39="","",ROW()-4)</f>
        <v/>
      </c>
      <c r="C39" s="6" t="n"/>
      <c r="D39" s="7" t="n"/>
      <c r="E39" s="7" t="n"/>
      <c r="F39" s="6" t="n"/>
      <c r="G39" s="6" t="n"/>
      <c r="H39" s="7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8" t="n"/>
      <c r="V39" s="8" t="n"/>
      <c r="W39" s="8" t="n"/>
      <c r="X39" s="6">
        <f>IF(AND(V39&lt;&gt;"",W39&lt;&gt;""),NETWORKDAYS(V39,W39),"")</f>
        <v/>
      </c>
      <c r="Y39" s="6" t="n"/>
      <c r="Z39" s="9" t="n"/>
      <c r="AA39" s="6" t="n"/>
      <c r="AB39" s="7" t="n"/>
      <c r="AC39" s="6" t="n"/>
      <c r="AD39" s="8" t="n"/>
      <c r="AE39" s="7" t="n"/>
      <c r="AF39" s="6" t="n"/>
      <c r="AG39" s="6" t="n"/>
      <c r="AH39" s="6" t="n"/>
    </row>
    <row r="40" ht="30" customHeight="1">
      <c r="B40" s="6">
        <f>IF(D40="","",ROW()-4)</f>
        <v/>
      </c>
      <c r="C40" s="6" t="n"/>
      <c r="D40" s="7" t="n"/>
      <c r="E40" s="7" t="n"/>
      <c r="F40" s="6" t="n"/>
      <c r="G40" s="6" t="n"/>
      <c r="H40" s="7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8" t="n"/>
      <c r="V40" s="8" t="n"/>
      <c r="W40" s="8" t="n"/>
      <c r="X40" s="6">
        <f>IF(AND(V40&lt;&gt;"",W40&lt;&gt;""),NETWORKDAYS(V40,W40),"")</f>
        <v/>
      </c>
      <c r="Y40" s="6" t="n"/>
      <c r="Z40" s="9" t="n"/>
      <c r="AA40" s="6" t="n"/>
      <c r="AB40" s="7" t="n"/>
      <c r="AC40" s="6" t="n"/>
      <c r="AD40" s="8" t="n"/>
      <c r="AE40" s="7" t="n"/>
      <c r="AF40" s="6" t="n"/>
      <c r="AG40" s="6" t="n"/>
      <c r="AH40" s="6" t="n"/>
    </row>
    <row r="41" ht="30" customHeight="1">
      <c r="B41" s="6">
        <f>IF(D41="","",ROW()-4)</f>
        <v/>
      </c>
      <c r="C41" s="6" t="n"/>
      <c r="D41" s="7" t="n"/>
      <c r="E41" s="7" t="n"/>
      <c r="F41" s="6" t="n"/>
      <c r="G41" s="6" t="n"/>
      <c r="H41" s="7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8" t="n"/>
      <c r="V41" s="8" t="n"/>
      <c r="W41" s="8" t="n"/>
      <c r="X41" s="6">
        <f>IF(AND(V41&lt;&gt;"",W41&lt;&gt;""),NETWORKDAYS(V41,W41),"")</f>
        <v/>
      </c>
      <c r="Y41" s="6" t="n"/>
      <c r="Z41" s="9" t="n"/>
      <c r="AA41" s="6" t="n"/>
      <c r="AB41" s="7" t="n"/>
      <c r="AC41" s="6" t="n"/>
      <c r="AD41" s="8" t="n"/>
      <c r="AE41" s="7" t="n"/>
      <c r="AF41" s="6" t="n"/>
      <c r="AG41" s="6" t="n"/>
      <c r="AH41" s="6" t="n"/>
    </row>
    <row r="42" ht="30" customHeight="1">
      <c r="B42" s="6">
        <f>IF(D42="","",ROW()-4)</f>
        <v/>
      </c>
      <c r="C42" s="6" t="n"/>
      <c r="D42" s="7" t="n"/>
      <c r="E42" s="7" t="n"/>
      <c r="F42" s="6" t="n"/>
      <c r="G42" s="6" t="n"/>
      <c r="H42" s="7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8" t="n"/>
      <c r="V42" s="8" t="n"/>
      <c r="W42" s="8" t="n"/>
      <c r="X42" s="6">
        <f>IF(AND(V42&lt;&gt;"",W42&lt;&gt;""),NETWORKDAYS(V42,W42),"")</f>
        <v/>
      </c>
      <c r="Y42" s="6" t="n"/>
      <c r="Z42" s="9" t="n"/>
      <c r="AA42" s="6" t="n"/>
      <c r="AB42" s="7" t="n"/>
      <c r="AC42" s="6" t="n"/>
      <c r="AD42" s="8" t="n"/>
      <c r="AE42" s="7" t="n"/>
      <c r="AF42" s="6" t="n"/>
      <c r="AG42" s="6" t="n"/>
      <c r="AH42" s="6" t="n"/>
    </row>
    <row r="43" ht="30" customHeight="1">
      <c r="B43" s="6">
        <f>IF(D43="","",ROW()-4)</f>
        <v/>
      </c>
      <c r="C43" s="6" t="n"/>
      <c r="D43" s="7" t="n"/>
      <c r="E43" s="7" t="n"/>
      <c r="F43" s="6" t="n"/>
      <c r="G43" s="6" t="n"/>
      <c r="H43" s="7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8" t="n"/>
      <c r="V43" s="8" t="n"/>
      <c r="W43" s="8" t="n"/>
      <c r="X43" s="6">
        <f>IF(AND(V43&lt;&gt;"",W43&lt;&gt;""),NETWORKDAYS(V43,W43),"")</f>
        <v/>
      </c>
      <c r="Y43" s="6" t="n"/>
      <c r="Z43" s="9" t="n"/>
      <c r="AA43" s="6" t="n"/>
      <c r="AB43" s="7" t="n"/>
      <c r="AC43" s="6" t="n"/>
      <c r="AD43" s="8" t="n"/>
      <c r="AE43" s="7" t="n"/>
      <c r="AF43" s="6" t="n"/>
      <c r="AG43" s="6" t="n"/>
      <c r="AH43" s="6" t="n"/>
    </row>
    <row r="44" ht="30" customHeight="1">
      <c r="B44" s="6">
        <f>IF(D44="","",ROW()-4)</f>
        <v/>
      </c>
      <c r="C44" s="6" t="n"/>
      <c r="D44" s="7" t="n"/>
      <c r="E44" s="7" t="n"/>
      <c r="F44" s="6" t="n"/>
      <c r="G44" s="6" t="n"/>
      <c r="H44" s="7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8" t="n"/>
      <c r="V44" s="8" t="n"/>
      <c r="W44" s="8" t="n"/>
      <c r="X44" s="6">
        <f>IF(AND(V44&lt;&gt;"",W44&lt;&gt;""),NETWORKDAYS(V44,W44),"")</f>
        <v/>
      </c>
      <c r="Y44" s="6" t="n"/>
      <c r="Z44" s="9" t="n"/>
      <c r="AA44" s="6" t="n"/>
      <c r="AB44" s="7" t="n"/>
      <c r="AC44" s="6" t="n"/>
      <c r="AD44" s="8" t="n"/>
      <c r="AE44" s="7" t="n"/>
      <c r="AF44" s="6" t="n"/>
      <c r="AG44" s="6" t="n"/>
      <c r="AH44" s="6" t="n"/>
    </row>
    <row r="45" ht="30" customHeight="1">
      <c r="B45" s="6">
        <f>IF(D45="","",ROW()-4)</f>
        <v/>
      </c>
      <c r="C45" s="6" t="n"/>
      <c r="D45" s="7" t="n"/>
      <c r="E45" s="7" t="n"/>
      <c r="F45" s="6" t="n"/>
      <c r="G45" s="6" t="n"/>
      <c r="H45" s="7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8" t="n"/>
      <c r="V45" s="8" t="n"/>
      <c r="W45" s="8" t="n"/>
      <c r="X45" s="6">
        <f>IF(AND(V45&lt;&gt;"",W45&lt;&gt;""),NETWORKDAYS(V45,W45),"")</f>
        <v/>
      </c>
      <c r="Y45" s="6" t="n"/>
      <c r="Z45" s="9" t="n"/>
      <c r="AA45" s="6" t="n"/>
      <c r="AB45" s="7" t="n"/>
      <c r="AC45" s="6" t="n"/>
      <c r="AD45" s="8" t="n"/>
      <c r="AE45" s="7" t="n"/>
      <c r="AF45" s="6" t="n"/>
      <c r="AG45" s="6" t="n"/>
      <c r="AH45" s="6" t="n"/>
    </row>
    <row r="46" ht="30" customHeight="1">
      <c r="B46" s="6">
        <f>IF(D46="","",ROW()-4)</f>
        <v/>
      </c>
      <c r="C46" s="6" t="n"/>
      <c r="D46" s="7" t="n"/>
      <c r="E46" s="7" t="n"/>
      <c r="F46" s="6" t="n"/>
      <c r="G46" s="6" t="n"/>
      <c r="H46" s="7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8" t="n"/>
      <c r="V46" s="8" t="n"/>
      <c r="W46" s="8" t="n"/>
      <c r="X46" s="6">
        <f>IF(AND(V46&lt;&gt;"",W46&lt;&gt;""),NETWORKDAYS(V46,W46),"")</f>
        <v/>
      </c>
      <c r="Y46" s="6" t="n"/>
      <c r="Z46" s="9" t="n"/>
      <c r="AA46" s="6" t="n"/>
      <c r="AB46" s="7" t="n"/>
      <c r="AC46" s="6" t="n"/>
      <c r="AD46" s="8" t="n"/>
      <c r="AE46" s="7" t="n"/>
      <c r="AF46" s="6" t="n"/>
      <c r="AG46" s="6" t="n"/>
      <c r="AH46" s="6" t="n"/>
    </row>
    <row r="47" ht="30" customHeight="1">
      <c r="B47" s="6">
        <f>IF(D47="","",ROW()-4)</f>
        <v/>
      </c>
      <c r="C47" s="6" t="n"/>
      <c r="D47" s="7" t="n"/>
      <c r="E47" s="7" t="n"/>
      <c r="F47" s="6" t="n"/>
      <c r="G47" s="6" t="n"/>
      <c r="H47" s="7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8" t="n"/>
      <c r="V47" s="8" t="n"/>
      <c r="W47" s="8" t="n"/>
      <c r="X47" s="6">
        <f>IF(AND(V47&lt;&gt;"",W47&lt;&gt;""),NETWORKDAYS(V47,W47),"")</f>
        <v/>
      </c>
      <c r="Y47" s="6" t="n"/>
      <c r="Z47" s="9" t="n"/>
      <c r="AA47" s="6" t="n"/>
      <c r="AB47" s="7" t="n"/>
      <c r="AC47" s="6" t="n"/>
      <c r="AD47" s="8" t="n"/>
      <c r="AE47" s="7" t="n"/>
      <c r="AF47" s="6" t="n"/>
      <c r="AG47" s="6" t="n"/>
      <c r="AH47" s="6" t="n"/>
    </row>
    <row r="48" ht="30" customHeight="1">
      <c r="B48" s="6">
        <f>IF(D48="","",ROW()-4)</f>
        <v/>
      </c>
      <c r="C48" s="6" t="n"/>
      <c r="D48" s="7" t="n"/>
      <c r="E48" s="7" t="n"/>
      <c r="F48" s="6" t="n"/>
      <c r="G48" s="6" t="n"/>
      <c r="H48" s="7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8" t="n"/>
      <c r="V48" s="8" t="n"/>
      <c r="W48" s="8" t="n"/>
      <c r="X48" s="6">
        <f>IF(AND(V48&lt;&gt;"",W48&lt;&gt;""),NETWORKDAYS(V48,W48),"")</f>
        <v/>
      </c>
      <c r="Y48" s="6" t="n"/>
      <c r="Z48" s="9" t="n"/>
      <c r="AA48" s="6" t="n"/>
      <c r="AB48" s="7" t="n"/>
      <c r="AC48" s="6" t="n"/>
      <c r="AD48" s="8" t="n"/>
      <c r="AE48" s="7" t="n"/>
      <c r="AF48" s="6" t="n"/>
      <c r="AG48" s="6" t="n"/>
      <c r="AH48" s="6" t="n"/>
    </row>
    <row r="49" ht="30" customHeight="1">
      <c r="B49" s="6">
        <f>IF(D49="","",ROW()-4)</f>
        <v/>
      </c>
      <c r="C49" s="6" t="n"/>
      <c r="D49" s="7" t="n"/>
      <c r="E49" s="7" t="n"/>
      <c r="F49" s="6" t="n"/>
      <c r="G49" s="6" t="n"/>
      <c r="H49" s="7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8" t="n"/>
      <c r="V49" s="8" t="n"/>
      <c r="W49" s="8" t="n"/>
      <c r="X49" s="6">
        <f>IF(AND(V49&lt;&gt;"",W49&lt;&gt;""),NETWORKDAYS(V49,W49),"")</f>
        <v/>
      </c>
      <c r="Y49" s="6" t="n"/>
      <c r="Z49" s="9" t="n"/>
      <c r="AA49" s="6" t="n"/>
      <c r="AB49" s="7" t="n"/>
      <c r="AC49" s="6" t="n"/>
      <c r="AD49" s="8" t="n"/>
      <c r="AE49" s="7" t="n"/>
      <c r="AF49" s="6" t="n"/>
      <c r="AG49" s="6" t="n"/>
      <c r="AH49" s="6" t="n"/>
    </row>
    <row r="50" ht="30" customHeight="1">
      <c r="B50" s="6">
        <f>IF(D50="","",ROW()-4)</f>
        <v/>
      </c>
      <c r="C50" s="6" t="n"/>
      <c r="D50" s="7" t="n"/>
      <c r="E50" s="7" t="n"/>
      <c r="F50" s="6" t="n"/>
      <c r="G50" s="6" t="n"/>
      <c r="H50" s="7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8" t="n"/>
      <c r="V50" s="8" t="n"/>
      <c r="W50" s="8" t="n"/>
      <c r="X50" s="6">
        <f>IF(AND(V50&lt;&gt;"",W50&lt;&gt;""),NETWORKDAYS(V50,W50),"")</f>
        <v/>
      </c>
      <c r="Y50" s="6" t="n"/>
      <c r="Z50" s="9" t="n"/>
      <c r="AA50" s="6" t="n"/>
      <c r="AB50" s="7" t="n"/>
      <c r="AC50" s="6" t="n"/>
      <c r="AD50" s="8" t="n"/>
      <c r="AE50" s="7" t="n"/>
      <c r="AF50" s="6" t="n"/>
      <c r="AG50" s="6" t="n"/>
      <c r="AH50" s="6" t="n"/>
    </row>
    <row r="51" ht="30" customHeight="1">
      <c r="B51" s="6">
        <f>IF(D51="","",ROW()-4)</f>
        <v/>
      </c>
      <c r="C51" s="6" t="n"/>
      <c r="D51" s="7" t="n"/>
      <c r="E51" s="7" t="n"/>
      <c r="F51" s="6" t="n"/>
      <c r="G51" s="6" t="n"/>
      <c r="H51" s="7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8" t="n"/>
      <c r="V51" s="8" t="n"/>
      <c r="W51" s="8" t="n"/>
      <c r="X51" s="6">
        <f>IF(AND(V51&lt;&gt;"",W51&lt;&gt;""),NETWORKDAYS(V51,W51),"")</f>
        <v/>
      </c>
      <c r="Y51" s="6" t="n"/>
      <c r="Z51" s="9" t="n"/>
      <c r="AA51" s="6" t="n"/>
      <c r="AB51" s="7" t="n"/>
      <c r="AC51" s="6" t="n"/>
      <c r="AD51" s="8" t="n"/>
      <c r="AE51" s="7" t="n"/>
      <c r="AF51" s="6" t="n"/>
      <c r="AG51" s="6" t="n"/>
      <c r="AH51" s="6" t="n"/>
    </row>
    <row r="52" ht="30" customHeight="1">
      <c r="B52" s="6">
        <f>IF(D52="","",ROW()-4)</f>
        <v/>
      </c>
      <c r="C52" s="6" t="n"/>
      <c r="D52" s="7" t="n"/>
      <c r="E52" s="7" t="n"/>
      <c r="F52" s="6" t="n"/>
      <c r="G52" s="6" t="n"/>
      <c r="H52" s="7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8" t="n"/>
      <c r="V52" s="8" t="n"/>
      <c r="W52" s="8" t="n"/>
      <c r="X52" s="6">
        <f>IF(AND(V52&lt;&gt;"",W52&lt;&gt;""),NETWORKDAYS(V52,W52),"")</f>
        <v/>
      </c>
      <c r="Y52" s="6" t="n"/>
      <c r="Z52" s="9" t="n"/>
      <c r="AA52" s="6" t="n"/>
      <c r="AB52" s="7" t="n"/>
      <c r="AC52" s="6" t="n"/>
      <c r="AD52" s="8" t="n"/>
      <c r="AE52" s="7" t="n"/>
      <c r="AF52" s="6" t="n"/>
      <c r="AG52" s="6" t="n"/>
      <c r="AH52" s="6" t="n"/>
    </row>
    <row r="53" ht="30" customHeight="1">
      <c r="B53" s="6">
        <f>IF(D53="","",ROW()-4)</f>
        <v/>
      </c>
      <c r="C53" s="6" t="n"/>
      <c r="D53" s="7" t="n"/>
      <c r="E53" s="7" t="n"/>
      <c r="F53" s="6" t="n"/>
      <c r="G53" s="6" t="n"/>
      <c r="H53" s="7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8" t="n"/>
      <c r="V53" s="8" t="n"/>
      <c r="W53" s="8" t="n"/>
      <c r="X53" s="6">
        <f>IF(AND(V53&lt;&gt;"",W53&lt;&gt;""),NETWORKDAYS(V53,W53),"")</f>
        <v/>
      </c>
      <c r="Y53" s="6" t="n"/>
      <c r="Z53" s="9" t="n"/>
      <c r="AA53" s="6" t="n"/>
      <c r="AB53" s="7" t="n"/>
      <c r="AC53" s="6" t="n"/>
      <c r="AD53" s="8" t="n"/>
      <c r="AE53" s="7" t="n"/>
      <c r="AF53" s="6" t="n"/>
      <c r="AG53" s="6" t="n"/>
      <c r="AH53" s="6" t="n"/>
    </row>
    <row r="54" ht="30" customHeight="1">
      <c r="B54" s="6">
        <f>IF(D54="","",ROW()-4)</f>
        <v/>
      </c>
      <c r="C54" s="6" t="n"/>
      <c r="D54" s="7" t="n"/>
      <c r="E54" s="7" t="n"/>
      <c r="F54" s="6" t="n"/>
      <c r="G54" s="6" t="n"/>
      <c r="H54" s="7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8" t="n"/>
      <c r="V54" s="8" t="n"/>
      <c r="W54" s="8" t="n"/>
      <c r="X54" s="6">
        <f>IF(AND(V54&lt;&gt;"",W54&lt;&gt;""),NETWORKDAYS(V54,W54),"")</f>
        <v/>
      </c>
      <c r="Y54" s="6" t="n"/>
      <c r="Z54" s="9" t="n"/>
      <c r="AA54" s="6" t="n"/>
      <c r="AB54" s="7" t="n"/>
      <c r="AC54" s="6" t="n"/>
      <c r="AD54" s="8" t="n"/>
      <c r="AE54" s="7" t="n"/>
      <c r="AF54" s="6" t="n"/>
      <c r="AG54" s="6" t="n"/>
      <c r="AH54" s="6" t="n"/>
    </row>
    <row r="55" ht="30" customHeight="1">
      <c r="B55" s="6">
        <f>IF(D55="","",ROW()-4)</f>
        <v/>
      </c>
      <c r="C55" s="6" t="n"/>
      <c r="D55" s="7" t="n"/>
      <c r="E55" s="7" t="n"/>
      <c r="F55" s="6" t="n"/>
      <c r="G55" s="6" t="n"/>
      <c r="H55" s="7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8" t="n"/>
      <c r="V55" s="8" t="n"/>
      <c r="W55" s="8" t="n"/>
      <c r="X55" s="6">
        <f>IF(AND(V55&lt;&gt;"",W55&lt;&gt;""),NETWORKDAYS(V55,W55),"")</f>
        <v/>
      </c>
      <c r="Y55" s="6" t="n"/>
      <c r="Z55" s="9" t="n"/>
      <c r="AA55" s="6" t="n"/>
      <c r="AB55" s="7" t="n"/>
      <c r="AC55" s="6" t="n"/>
      <c r="AD55" s="8" t="n"/>
      <c r="AE55" s="7" t="n"/>
      <c r="AF55" s="6" t="n"/>
      <c r="AG55" s="6" t="n"/>
      <c r="AH55" s="6" t="n"/>
    </row>
    <row r="56" ht="30" customHeight="1">
      <c r="B56" s="6">
        <f>IF(D56="","",ROW()-4)</f>
        <v/>
      </c>
      <c r="C56" s="6" t="n"/>
      <c r="D56" s="7" t="n"/>
      <c r="E56" s="7" t="n"/>
      <c r="F56" s="6" t="n"/>
      <c r="G56" s="6" t="n"/>
      <c r="H56" s="7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8" t="n"/>
      <c r="V56" s="8" t="n"/>
      <c r="W56" s="8" t="n"/>
      <c r="X56" s="6">
        <f>IF(AND(V56&lt;&gt;"",W56&lt;&gt;""),NETWORKDAYS(V56,W56),"")</f>
        <v/>
      </c>
      <c r="Y56" s="6" t="n"/>
      <c r="Z56" s="9" t="n"/>
      <c r="AA56" s="6" t="n"/>
      <c r="AB56" s="7" t="n"/>
      <c r="AC56" s="6" t="n"/>
      <c r="AD56" s="8" t="n"/>
      <c r="AE56" s="7" t="n"/>
      <c r="AF56" s="6" t="n"/>
      <c r="AG56" s="6" t="n"/>
      <c r="AH56" s="6" t="n"/>
    </row>
    <row r="57" ht="30" customHeight="1">
      <c r="B57" s="6">
        <f>IF(D57="","",ROW()-4)</f>
        <v/>
      </c>
      <c r="C57" s="6" t="n"/>
      <c r="D57" s="7" t="n"/>
      <c r="E57" s="7" t="n"/>
      <c r="F57" s="6" t="n"/>
      <c r="G57" s="6" t="n"/>
      <c r="H57" s="7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8" t="n"/>
      <c r="V57" s="8" t="n"/>
      <c r="W57" s="8" t="n"/>
      <c r="X57" s="6">
        <f>IF(AND(V57&lt;&gt;"",W57&lt;&gt;""),NETWORKDAYS(V57,W57),"")</f>
        <v/>
      </c>
      <c r="Y57" s="6" t="n"/>
      <c r="Z57" s="9" t="n"/>
      <c r="AA57" s="6" t="n"/>
      <c r="AB57" s="7" t="n"/>
      <c r="AC57" s="6" t="n"/>
      <c r="AD57" s="8" t="n"/>
      <c r="AE57" s="7" t="n"/>
      <c r="AF57" s="6" t="n"/>
      <c r="AG57" s="6" t="n"/>
      <c r="AH57" s="6" t="n"/>
    </row>
    <row r="58" ht="30" customHeight="1">
      <c r="B58" s="6">
        <f>IF(D58="","",ROW()-4)</f>
        <v/>
      </c>
      <c r="C58" s="6" t="n"/>
      <c r="D58" s="7" t="n"/>
      <c r="E58" s="7" t="n"/>
      <c r="F58" s="6" t="n"/>
      <c r="G58" s="6" t="n"/>
      <c r="H58" s="7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8" t="n"/>
      <c r="V58" s="8" t="n"/>
      <c r="W58" s="8" t="n"/>
      <c r="X58" s="6">
        <f>IF(AND(V58&lt;&gt;"",W58&lt;&gt;""),NETWORKDAYS(V58,W58),"")</f>
        <v/>
      </c>
      <c r="Y58" s="6" t="n"/>
      <c r="Z58" s="9" t="n"/>
      <c r="AA58" s="6" t="n"/>
      <c r="AB58" s="7" t="n"/>
      <c r="AC58" s="6" t="n"/>
      <c r="AD58" s="8" t="n"/>
      <c r="AE58" s="7" t="n"/>
      <c r="AF58" s="6" t="n"/>
      <c r="AG58" s="6" t="n"/>
      <c r="AH58" s="6" t="n"/>
    </row>
    <row r="59" ht="30" customHeight="1">
      <c r="B59" s="6">
        <f>IF(D59="","",ROW()-4)</f>
        <v/>
      </c>
      <c r="C59" s="6" t="n"/>
      <c r="D59" s="7" t="n"/>
      <c r="E59" s="7" t="n"/>
      <c r="F59" s="6" t="n"/>
      <c r="G59" s="6" t="n"/>
      <c r="H59" s="7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8" t="n"/>
      <c r="V59" s="8" t="n"/>
      <c r="W59" s="8" t="n"/>
      <c r="X59" s="6">
        <f>IF(AND(V59&lt;&gt;"",W59&lt;&gt;""),NETWORKDAYS(V59,W59),"")</f>
        <v/>
      </c>
      <c r="Y59" s="6" t="n"/>
      <c r="Z59" s="9" t="n"/>
      <c r="AA59" s="6" t="n"/>
      <c r="AB59" s="7" t="n"/>
      <c r="AC59" s="6" t="n"/>
      <c r="AD59" s="8" t="n"/>
      <c r="AE59" s="7" t="n"/>
      <c r="AF59" s="6" t="n"/>
      <c r="AG59" s="6" t="n"/>
      <c r="AH59" s="6" t="n"/>
    </row>
    <row r="60" ht="30" customHeight="1">
      <c r="B60" s="6">
        <f>IF(D60="","",ROW()-4)</f>
        <v/>
      </c>
      <c r="C60" s="6" t="n"/>
      <c r="D60" s="7" t="n"/>
      <c r="E60" s="7" t="n"/>
      <c r="F60" s="6" t="n"/>
      <c r="G60" s="6" t="n"/>
      <c r="H60" s="7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8" t="n"/>
      <c r="V60" s="8" t="n"/>
      <c r="W60" s="8" t="n"/>
      <c r="X60" s="6">
        <f>IF(AND(V60&lt;&gt;"",W60&lt;&gt;""),NETWORKDAYS(V60,W60),"")</f>
        <v/>
      </c>
      <c r="Y60" s="6" t="n"/>
      <c r="Z60" s="9" t="n"/>
      <c r="AA60" s="6" t="n"/>
      <c r="AB60" s="7" t="n"/>
      <c r="AC60" s="6" t="n"/>
      <c r="AD60" s="8" t="n"/>
      <c r="AE60" s="7" t="n"/>
      <c r="AF60" s="6" t="n"/>
      <c r="AG60" s="6" t="n"/>
      <c r="AH60" s="6" t="n"/>
    </row>
    <row r="61" ht="30" customHeight="1">
      <c r="B61" s="6">
        <f>IF(D61="","",ROW()-4)</f>
        <v/>
      </c>
      <c r="C61" s="6" t="n"/>
      <c r="D61" s="7" t="n"/>
      <c r="E61" s="7" t="n"/>
      <c r="F61" s="6" t="n"/>
      <c r="G61" s="6" t="n"/>
      <c r="H61" s="7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8" t="n"/>
      <c r="V61" s="8" t="n"/>
      <c r="W61" s="8" t="n"/>
      <c r="X61" s="6">
        <f>IF(AND(V61&lt;&gt;"",W61&lt;&gt;""),NETWORKDAYS(V61,W61),"")</f>
        <v/>
      </c>
      <c r="Y61" s="6" t="n"/>
      <c r="Z61" s="9" t="n"/>
      <c r="AA61" s="6" t="n"/>
      <c r="AB61" s="7" t="n"/>
      <c r="AC61" s="6" t="n"/>
      <c r="AD61" s="8" t="n"/>
      <c r="AE61" s="7" t="n"/>
      <c r="AF61" s="6" t="n"/>
      <c r="AG61" s="6" t="n"/>
      <c r="AH61" s="6" t="n"/>
    </row>
    <row r="62" ht="30" customHeight="1">
      <c r="B62" s="6">
        <f>IF(D62="","",ROW()-4)</f>
        <v/>
      </c>
      <c r="C62" s="6" t="n"/>
      <c r="D62" s="7" t="n"/>
      <c r="E62" s="7" t="n"/>
      <c r="F62" s="6" t="n"/>
      <c r="G62" s="6" t="n"/>
      <c r="H62" s="7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8" t="n"/>
      <c r="V62" s="8" t="n"/>
      <c r="W62" s="8" t="n"/>
      <c r="X62" s="6">
        <f>IF(AND(V62&lt;&gt;"",W62&lt;&gt;""),NETWORKDAYS(V62,W62),"")</f>
        <v/>
      </c>
      <c r="Y62" s="6" t="n"/>
      <c r="Z62" s="9" t="n"/>
      <c r="AA62" s="6" t="n"/>
      <c r="AB62" s="7" t="n"/>
      <c r="AC62" s="6" t="n"/>
      <c r="AD62" s="8" t="n"/>
      <c r="AE62" s="7" t="n"/>
      <c r="AF62" s="6" t="n"/>
      <c r="AG62" s="6" t="n"/>
      <c r="AH62" s="6" t="n"/>
    </row>
    <row r="63" ht="30" customHeight="1">
      <c r="B63" s="6">
        <f>IF(D63="","",ROW()-4)</f>
        <v/>
      </c>
      <c r="C63" s="6" t="n"/>
      <c r="D63" s="7" t="n"/>
      <c r="E63" s="7" t="n"/>
      <c r="F63" s="6" t="n"/>
      <c r="G63" s="6" t="n"/>
      <c r="H63" s="7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8" t="n"/>
      <c r="V63" s="8" t="n"/>
      <c r="W63" s="8" t="n"/>
      <c r="X63" s="6">
        <f>IF(AND(V63&lt;&gt;"",W63&lt;&gt;""),NETWORKDAYS(V63,W63),"")</f>
        <v/>
      </c>
      <c r="Y63" s="6" t="n"/>
      <c r="Z63" s="9" t="n"/>
      <c r="AA63" s="6" t="n"/>
      <c r="AB63" s="7" t="n"/>
      <c r="AC63" s="6" t="n"/>
      <c r="AD63" s="8" t="n"/>
      <c r="AE63" s="7" t="n"/>
      <c r="AF63" s="6" t="n"/>
      <c r="AG63" s="6" t="n"/>
      <c r="AH63" s="6" t="n"/>
    </row>
    <row r="64" ht="30" customHeight="1">
      <c r="B64" s="6">
        <f>IF(D64="","",ROW()-4)</f>
        <v/>
      </c>
      <c r="C64" s="6" t="n"/>
      <c r="D64" s="7" t="n"/>
      <c r="E64" s="7" t="n"/>
      <c r="F64" s="6" t="n"/>
      <c r="G64" s="6" t="n"/>
      <c r="H64" s="7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8" t="n"/>
      <c r="V64" s="8" t="n"/>
      <c r="W64" s="8" t="n"/>
      <c r="X64" s="6">
        <f>IF(AND(V64&lt;&gt;"",W64&lt;&gt;""),NETWORKDAYS(V64,W64),"")</f>
        <v/>
      </c>
      <c r="Y64" s="6" t="n"/>
      <c r="Z64" s="9" t="n"/>
      <c r="AA64" s="6" t="n"/>
      <c r="AB64" s="7" t="n"/>
      <c r="AC64" s="6" t="n"/>
      <c r="AD64" s="8" t="n"/>
      <c r="AE64" s="7" t="n"/>
      <c r="AF64" s="6" t="n"/>
      <c r="AG64" s="6" t="n"/>
      <c r="AH64" s="6" t="n"/>
    </row>
  </sheetData>
  <mergeCells count="6">
    <mergeCell ref="U3:AB3"/>
    <mergeCell ref="AC3:AE3"/>
    <mergeCell ref="AF3:AH3"/>
    <mergeCell ref="I3:K3"/>
    <mergeCell ref="B3:H3"/>
    <mergeCell ref="L3:T3"/>
  </mergeCells>
  <conditionalFormatting sqref="B5:AB64">
    <cfRule type="expression" priority="1" dxfId="0">
      <formula>$AA5="완료"</formula>
    </cfRule>
  </conditionalFormatting>
  <dataValidations count="4">
    <dataValidation sqref="I5:I64 J5:J64 K5:K64" showDropDown="0" showInputMessage="0" showErrorMessage="0" allowBlank="1" type="list">
      <formula1>"X,최영배,조한빈,김재헌,양한규,성대용,원종수,송영길,이은지,송치영,남은주,임승주,임창열,김수겸,VIET 내부1팀,VIET 내부2팀,VIET 내부3팀,VIET 외부팀,VIET 창호팀,VIET 조적팀,신동헌,박용진,장범선,오승균,박가림,이성희,이정철,박소현,김채원"</formula1>
    </dataValidation>
    <dataValidation sqref="L5:L64 M5:M64 N5:N64 O5:O64 P5:P64 Q5:Q64 R5:R64 S5:S64 T5:T64" showDropDown="0" showInputMessage="0" showErrorMessage="0" allowBlank="1" type="list">
      <formula1>"최영배,조한빈,김재헌,양한규,성대용,원종수,송영길,이은지,송치영,남은주,임승주,임창열,김수겸,VIET 내부1팀,VIET 내부2팀,VIET 내부3팀,VIET 외부팀,VIET 창호팀,VIET 조적팀"</formula1>
    </dataValidation>
    <dataValidation sqref="Y5:Y64" showDropDown="0" showInputMessage="0" showErrorMessage="0" allowBlank="1" type="list">
      <formula1>"긴급,높음,보통,낮음"</formula1>
    </dataValidation>
    <dataValidation sqref="AA5:AA64" showDropDown="0" showInputMessage="0" showErrorMessage="0" allowBlank="1" type="list">
      <formula1>"시작전,진행중,검토,완료,보류"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H194"/>
  <sheetViews>
    <sheetView showGridLines="0"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0" customWidth="1" min="4" max="4"/>
    <col hidden="1" width="13" customWidth="1" min="5" max="5"/>
    <col hidden="1" width="13" customWidth="1" min="6" max="6"/>
    <col hidden="1" width="13" customWidth="1" min="7" max="7"/>
    <col width="2.4" customWidth="1" min="8" max="8"/>
    <col width="2.4" customWidth="1" min="9" max="9"/>
    <col width="2.4" customWidth="1" min="10" max="10"/>
    <col width="2.4" customWidth="1" min="11" max="11"/>
    <col width="2.4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  <col width="2.4" customWidth="1" min="26" max="26"/>
    <col width="2.4" customWidth="1" min="27" max="27"/>
    <col width="2.4" customWidth="1" min="28" max="28"/>
    <col width="2.4" customWidth="1" min="29" max="29"/>
    <col width="2.4" customWidth="1" min="30" max="30"/>
    <col width="2.4" customWidth="1" min="31" max="31"/>
    <col width="2.4" customWidth="1" min="32" max="32"/>
    <col width="2.4" customWidth="1" min="33" max="33"/>
    <col width="2.4" customWidth="1" min="34" max="34"/>
    <col width="2.4" customWidth="1" min="35" max="35"/>
    <col width="2.4" customWidth="1" min="36" max="36"/>
    <col width="2.4" customWidth="1" min="37" max="37"/>
    <col width="2.4" customWidth="1" min="38" max="38"/>
    <col width="2.4" customWidth="1" min="39" max="39"/>
    <col width="2.4" customWidth="1" min="40" max="40"/>
    <col width="2.4" customWidth="1" min="41" max="41"/>
    <col width="2.4" customWidth="1" min="42" max="42"/>
    <col width="2.4" customWidth="1" min="43" max="43"/>
    <col width="2.4" customWidth="1" min="44" max="44"/>
    <col width="2.4" customWidth="1" min="45" max="45"/>
    <col width="2.4" customWidth="1" min="46" max="46"/>
    <col width="2.4" customWidth="1" min="47" max="47"/>
    <col width="2.4" customWidth="1" min="48" max="48"/>
    <col width="2.4" customWidth="1" min="49" max="49"/>
    <col width="2.4" customWidth="1" min="50" max="50"/>
    <col width="2.4" customWidth="1" min="51" max="51"/>
    <col width="2.4" customWidth="1" min="52" max="52"/>
    <col width="2.4" customWidth="1" min="53" max="53"/>
    <col width="2.4" customWidth="1" min="54" max="54"/>
    <col width="2.4" customWidth="1" min="55" max="55"/>
    <col width="2.4" customWidth="1" min="56" max="56"/>
    <col width="2.4" customWidth="1" min="57" max="57"/>
    <col width="2.4" customWidth="1" min="58" max="58"/>
    <col width="2.4" customWidth="1" min="59" max="59"/>
    <col width="2.4" customWidth="1" min="60" max="60"/>
    <col width="2.4" customWidth="1" min="61" max="61"/>
    <col width="2.4" customWidth="1" min="62" max="62"/>
    <col width="2.4" customWidth="1" min="63" max="63"/>
    <col width="2.4" customWidth="1" min="64" max="64"/>
    <col width="2.4" customWidth="1" min="65" max="65"/>
    <col width="2.4" customWidth="1" min="66" max="66"/>
    <col width="2.4" customWidth="1" min="67" max="67"/>
    <col width="2.4" customWidth="1" min="68" max="68"/>
    <col width="2.4" customWidth="1" min="69" max="69"/>
    <col width="2.4" customWidth="1" min="70" max="70"/>
    <col width="2.4" customWidth="1" min="71" max="71"/>
    <col width="2.4" customWidth="1" min="72" max="72"/>
    <col width="2.4" customWidth="1" min="73" max="73"/>
    <col width="2.4" customWidth="1" min="74" max="74"/>
    <col width="2.4" customWidth="1" min="75" max="75"/>
    <col width="2.4" customWidth="1" min="76" max="76"/>
    <col width="2.4" customWidth="1" min="77" max="77"/>
    <col width="2.4" customWidth="1" min="78" max="78"/>
    <col width="2.4" customWidth="1" min="79" max="79"/>
    <col width="2.4" customWidth="1" min="80" max="80"/>
    <col width="2.4" customWidth="1" min="81" max="81"/>
    <col width="2.4" customWidth="1" min="82" max="82"/>
    <col width="2.4" customWidth="1" min="83" max="83"/>
    <col width="2.4" customWidth="1" min="84" max="84"/>
    <col width="2.4" customWidth="1" min="85" max="85"/>
    <col width="2.4" customWidth="1" min="86" max="86"/>
    <col width="2.4" customWidth="1" min="87" max="87"/>
    <col width="2.4" customWidth="1" min="88" max="88"/>
    <col width="2.4" customWidth="1" min="89" max="89"/>
    <col width="2.4" customWidth="1" min="90" max="90"/>
    <col width="2.4" customWidth="1" min="91" max="91"/>
    <col width="2.4" customWidth="1" min="92" max="92"/>
    <col width="2.4" customWidth="1" min="93" max="93"/>
    <col width="2.4" customWidth="1" min="94" max="94"/>
    <col width="2.4" customWidth="1" min="95" max="95"/>
    <col width="2.4" customWidth="1" min="96" max="96"/>
    <col width="2.4" customWidth="1" min="97" max="97"/>
    <col width="2.4" customWidth="1" min="98" max="98"/>
    <col width="2.4" customWidth="1" min="99" max="99"/>
    <col width="2.4" customWidth="1" min="100" max="100"/>
    <col width="2.4" customWidth="1" min="101" max="101"/>
    <col width="2.4" customWidth="1" min="102" max="102"/>
    <col width="2.4" customWidth="1" min="103" max="103"/>
    <col width="2.4" customWidth="1" min="104" max="104"/>
    <col width="2.4" customWidth="1" min="105" max="105"/>
    <col width="2.4" customWidth="1" min="106" max="106"/>
    <col width="2.4" customWidth="1" min="107" max="107"/>
    <col width="2.4" customWidth="1" min="108" max="108"/>
    <col width="2.4" customWidth="1" min="109" max="109"/>
    <col width="2.4" customWidth="1" min="110" max="110"/>
    <col width="2.4" customWidth="1" min="111" max="111"/>
    <col width="2.4" customWidth="1" min="112" max="112"/>
    <col width="2.4" customWidth="1" min="113" max="113"/>
    <col width="2.4" customWidth="1" min="114" max="114"/>
    <col width="2.4" customWidth="1" min="115" max="115"/>
    <col width="2.4" customWidth="1" min="116" max="116"/>
    <col width="2.4" customWidth="1" min="117" max="117"/>
    <col width="2.4" customWidth="1" min="118" max="118"/>
    <col width="2.4" customWidth="1" min="119" max="119"/>
    <col width="2.4" customWidth="1" min="120" max="120"/>
    <col width="2.4" customWidth="1" min="121" max="121"/>
    <col width="2.4" customWidth="1" min="122" max="122"/>
    <col width="2.4" customWidth="1" min="123" max="123"/>
    <col width="2.4" customWidth="1" min="124" max="124"/>
    <col width="2.4" customWidth="1" min="125" max="125"/>
    <col width="2.4" customWidth="1" min="126" max="126"/>
    <col width="2.4" customWidth="1" min="127" max="127"/>
    <col width="2.4" customWidth="1" min="128" max="128"/>
    <col width="2.4" customWidth="1" min="129" max="129"/>
    <col width="2.4" customWidth="1" min="130" max="130"/>
    <col width="2.4" customWidth="1" min="131" max="131"/>
    <col width="2.4" customWidth="1" min="132" max="132"/>
    <col width="2.4" customWidth="1" min="133" max="133"/>
    <col width="2.4" customWidth="1" min="134" max="134"/>
    <col width="2.4" customWidth="1" min="135" max="135"/>
    <col width="2.4" customWidth="1" min="136" max="136"/>
    <col width="2.4" customWidth="1" min="137" max="137"/>
    <col width="2.4" customWidth="1" min="138" max="138"/>
    <col width="2.4" customWidth="1" min="139" max="139"/>
    <col width="2.4" customWidth="1" min="140" max="140"/>
    <col width="2.4" customWidth="1" min="141" max="141"/>
    <col width="2.4" customWidth="1" min="142" max="142"/>
    <col width="2.4" customWidth="1" min="143" max="143"/>
    <col width="2.4" customWidth="1" min="144" max="144"/>
    <col width="2.4" customWidth="1" min="145" max="145"/>
    <col width="2.4" customWidth="1" min="146" max="146"/>
    <col width="2.4" customWidth="1" min="147" max="147"/>
    <col width="2.4" customWidth="1" min="148" max="148"/>
    <col width="2.4" customWidth="1" min="149" max="149"/>
    <col width="2.4" customWidth="1" min="150" max="150"/>
    <col width="2.4" customWidth="1" min="151" max="151"/>
    <col width="2.4" customWidth="1" min="152" max="152"/>
    <col width="2.4" customWidth="1" min="153" max="153"/>
    <col width="2.4" customWidth="1" min="154" max="154"/>
    <col width="2.4" customWidth="1" min="155" max="155"/>
    <col width="2.4" customWidth="1" min="156" max="156"/>
    <col width="2.4" customWidth="1" min="157" max="157"/>
    <col width="2.4" customWidth="1" min="158" max="158"/>
    <col width="2.4" customWidth="1" min="159" max="159"/>
    <col width="2.4" customWidth="1" min="160" max="160"/>
    <col width="2.4" customWidth="1" min="161" max="161"/>
    <col width="2.4" customWidth="1" min="162" max="162"/>
    <col width="2.4" customWidth="1" min="163" max="163"/>
    <col width="2.4" customWidth="1" min="164" max="164"/>
    <col width="2.4" customWidth="1" min="165" max="165"/>
    <col width="2.4" customWidth="1" min="166" max="166"/>
    <col width="2.4" customWidth="1" min="167" max="167"/>
    <col width="2.4" customWidth="1" min="168" max="168"/>
    <col width="2.4" customWidth="1" min="169" max="169"/>
    <col width="2.4" customWidth="1" min="170" max="170"/>
    <col width="2.4" customWidth="1" min="171" max="171"/>
    <col width="2.4" customWidth="1" min="172" max="172"/>
    <col width="2.4" customWidth="1" min="173" max="173"/>
    <col width="2.4" customWidth="1" min="174" max="174"/>
    <col width="2.4" customWidth="1" min="175" max="175"/>
    <col width="2.4" customWidth="1" min="176" max="176"/>
    <col width="2.4" customWidth="1" min="177" max="177"/>
    <col width="2.4" customWidth="1" min="178" max="178"/>
    <col width="2.4" customWidth="1" min="179" max="179"/>
    <col width="2.4" customWidth="1" min="180" max="180"/>
    <col width="2.4" customWidth="1" min="181" max="181"/>
    <col width="2.4" customWidth="1" min="182" max="182"/>
    <col width="2.4" customWidth="1" min="183" max="183"/>
    <col width="2.4" customWidth="1" min="184" max="184"/>
    <col width="2.4" customWidth="1" min="185" max="185"/>
    <col width="2.4" customWidth="1" min="186" max="186"/>
    <col width="2.4" customWidth="1" min="187" max="187"/>
    <col width="2.4" customWidth="1" min="188" max="188"/>
    <col width="2.4" customWidth="1" min="189" max="189"/>
    <col width="2.4" customWidth="1" min="190" max="190"/>
    <col width="2.4" customWidth="1" min="191" max="191"/>
    <col width="2.4" customWidth="1" min="192" max="192"/>
    <col width="2.4" customWidth="1" min="193" max="193"/>
    <col width="2.4" customWidth="1" min="194" max="194"/>
    <col width="2.4" customWidth="1" min="195" max="195"/>
    <col width="2.4" customWidth="1" min="196" max="196"/>
    <col width="2.4" customWidth="1" min="197" max="197"/>
    <col width="2.4" customWidth="1" min="198" max="198"/>
    <col width="2.4" customWidth="1" min="199" max="199"/>
    <col width="2.4" customWidth="1" min="200" max="200"/>
    <col width="2.4" customWidth="1" min="201" max="201"/>
    <col width="2.4" customWidth="1" min="202" max="202"/>
    <col width="2.4" customWidth="1" min="203" max="203"/>
    <col width="2.4" customWidth="1" min="204" max="204"/>
    <col width="2.4" customWidth="1" min="205" max="205"/>
    <col width="2.4" customWidth="1" min="206" max="206"/>
    <col width="2.4" customWidth="1" min="207" max="207"/>
    <col width="2.4" customWidth="1" min="208" max="208"/>
    <col width="2.4" customWidth="1" min="209" max="209"/>
    <col width="2.4" customWidth="1" min="210" max="210"/>
    <col width="2.4" customWidth="1" min="211" max="211"/>
    <col width="2.4" customWidth="1" min="212" max="212"/>
    <col width="2.4" customWidth="1" min="213" max="213"/>
    <col width="2.4" customWidth="1" min="214" max="214"/>
    <col width="2.4" customWidth="1" min="215" max="215"/>
    <col width="2.4" customWidth="1" min="216" max="216"/>
    <col width="2.4" customWidth="1" min="217" max="217"/>
    <col width="2.4" customWidth="1" min="218" max="218"/>
    <col width="2.4" customWidth="1" min="219" max="219"/>
    <col width="2.4" customWidth="1" min="220" max="220"/>
    <col width="2.4" customWidth="1" min="221" max="221"/>
    <col width="2.4" customWidth="1" min="222" max="222"/>
    <col width="2.4" customWidth="1" min="223" max="223"/>
    <col width="2.4" customWidth="1" min="224" max="224"/>
    <col width="2.4" customWidth="1" min="225" max="225"/>
    <col width="2.4" customWidth="1" min="226" max="226"/>
    <col width="2.4" customWidth="1" min="227" max="227"/>
    <col width="2.4" customWidth="1" min="228" max="228"/>
    <col width="2.4" customWidth="1" min="229" max="229"/>
    <col width="2.4" customWidth="1" min="230" max="230"/>
    <col width="2.4" customWidth="1" min="231" max="231"/>
    <col width="2.4" customWidth="1" min="232" max="232"/>
    <col width="2.4" customWidth="1" min="233" max="233"/>
    <col width="2.4" customWidth="1" min="234" max="234"/>
    <col width="2.4" customWidth="1" min="235" max="235"/>
    <col width="2.4" customWidth="1" min="236" max="236"/>
    <col width="2.4" customWidth="1" min="237" max="237"/>
    <col width="2.4" customWidth="1" min="238" max="238"/>
    <col width="2.4" customWidth="1" min="239" max="239"/>
    <col width="2.4" customWidth="1" min="240" max="240"/>
    <col width="2.4" customWidth="1" min="241" max="241"/>
    <col width="2.4" customWidth="1" min="242" max="242"/>
    <col width="2.4" customWidth="1" min="243" max="243"/>
    <col width="2.4" customWidth="1" min="244" max="244"/>
    <col width="2.4" customWidth="1" min="245" max="245"/>
    <col width="2.4" customWidth="1" min="246" max="246"/>
    <col width="2.4" customWidth="1" min="247" max="247"/>
    <col width="2.4" customWidth="1" min="248" max="248"/>
    <col width="2.4" customWidth="1" min="249" max="249"/>
    <col width="2.4" customWidth="1" min="250" max="250"/>
    <col width="2.4" customWidth="1" min="251" max="251"/>
    <col width="2.4" customWidth="1" min="252" max="252"/>
    <col width="2.4" customWidth="1" min="253" max="253"/>
    <col width="2.4" customWidth="1" min="254" max="254"/>
    <col width="2.4" customWidth="1" min="255" max="255"/>
    <col width="2.4" customWidth="1" min="256" max="256"/>
    <col width="2.4" customWidth="1" min="257" max="257"/>
    <col width="2.4" customWidth="1" min="258" max="258"/>
    <col width="2.4" customWidth="1" min="259" max="259"/>
    <col width="2.4" customWidth="1" min="260" max="260"/>
    <col width="2.4" customWidth="1" min="261" max="261"/>
    <col width="2.4" customWidth="1" min="262" max="262"/>
    <col width="2.4" customWidth="1" min="263" max="263"/>
    <col width="2.4" customWidth="1" min="264" max="264"/>
    <col width="2.4" customWidth="1" min="265" max="265"/>
    <col width="2.4" customWidth="1" min="266" max="266"/>
    <col width="2.4" customWidth="1" min="267" max="267"/>
    <col width="2.4" customWidth="1" min="268" max="268"/>
    <col width="2.4" customWidth="1" min="269" max="269"/>
    <col width="2.4" customWidth="1" min="270" max="270"/>
    <col width="2.4" customWidth="1" min="271" max="271"/>
    <col width="2.4" customWidth="1" min="272" max="272"/>
    <col width="2.4" customWidth="1" min="273" max="273"/>
    <col width="2.4" customWidth="1" min="274" max="274"/>
    <col width="2.4" customWidth="1" min="275" max="275"/>
    <col width="2.4" customWidth="1" min="276" max="276"/>
    <col width="2.4" customWidth="1" min="277" max="277"/>
    <col width="2.4" customWidth="1" min="278" max="278"/>
    <col width="2.4" customWidth="1" min="279" max="279"/>
    <col width="2.4" customWidth="1" min="280" max="280"/>
    <col width="2.4" customWidth="1" min="281" max="281"/>
    <col width="2.4" customWidth="1" min="282" max="282"/>
    <col width="2.4" customWidth="1" min="283" max="283"/>
    <col width="2.4" customWidth="1" min="284" max="284"/>
    <col width="2.4" customWidth="1" min="285" max="285"/>
    <col width="2.4" customWidth="1" min="286" max="286"/>
    <col width="2.4" customWidth="1" min="287" max="287"/>
    <col width="2.4" customWidth="1" min="288" max="288"/>
    <col width="2.4" customWidth="1" min="289" max="289"/>
    <col width="2.4" customWidth="1" min="290" max="290"/>
    <col width="2.4" customWidth="1" min="291" max="291"/>
    <col width="2.4" customWidth="1" min="292" max="292"/>
    <col width="2.4" customWidth="1" min="293" max="293"/>
    <col width="2.4" customWidth="1" min="294" max="294"/>
    <col width="2.4" customWidth="1" min="295" max="295"/>
    <col width="2.4" customWidth="1" min="296" max="296"/>
    <col width="2.4" customWidth="1" min="297" max="297"/>
    <col width="2.4" customWidth="1" min="298" max="298"/>
    <col width="2.4" customWidth="1" min="299" max="299"/>
    <col width="2.4" customWidth="1" min="300" max="300"/>
    <col width="2.4" customWidth="1" min="301" max="301"/>
    <col width="2.4" customWidth="1" min="302" max="302"/>
    <col width="2.4" customWidth="1" min="303" max="303"/>
    <col width="2.4" customWidth="1" min="304" max="304"/>
    <col width="2.4" customWidth="1" min="305" max="305"/>
    <col width="2.4" customWidth="1" min="306" max="306"/>
    <col width="2.4" customWidth="1" min="307" max="307"/>
    <col width="2.4" customWidth="1" min="308" max="308"/>
    <col width="2.4" customWidth="1" min="309" max="309"/>
    <col width="2.4" customWidth="1" min="310" max="310"/>
    <col width="2.4" customWidth="1" min="311" max="311"/>
    <col width="2.4" customWidth="1" min="312" max="312"/>
    <col width="2.4" customWidth="1" min="313" max="313"/>
    <col width="2.4" customWidth="1" min="314" max="314"/>
    <col width="2.4" customWidth="1" min="315" max="315"/>
    <col width="2.4" customWidth="1" min="316" max="316"/>
    <col width="2.4" customWidth="1" min="317" max="317"/>
    <col width="2.4" customWidth="1" min="318" max="318"/>
    <col width="2.4" customWidth="1" min="319" max="319"/>
    <col width="2.4" customWidth="1" min="320" max="320"/>
    <col width="2.4" customWidth="1" min="321" max="321"/>
    <col width="2.4" customWidth="1" min="322" max="322"/>
    <col width="2.4" customWidth="1" min="323" max="323"/>
    <col width="2.4" customWidth="1" min="324" max="324"/>
    <col width="2.4" customWidth="1" min="325" max="325"/>
    <col width="2.4" customWidth="1" min="326" max="326"/>
    <col width="2.4" customWidth="1" min="327" max="327"/>
    <col width="2.4" customWidth="1" min="328" max="328"/>
    <col width="2.4" customWidth="1" min="329" max="329"/>
    <col width="2.4" customWidth="1" min="330" max="330"/>
    <col width="2.4" customWidth="1" min="331" max="331"/>
    <col width="2.4" customWidth="1" min="332" max="332"/>
    <col width="2.4" customWidth="1" min="333" max="333"/>
    <col width="2.4" customWidth="1" min="334" max="334"/>
    <col width="2.4" customWidth="1" min="335" max="335"/>
    <col width="2.4" customWidth="1" min="336" max="336"/>
    <col width="2.4" customWidth="1" min="337" max="337"/>
    <col width="2.4" customWidth="1" min="338" max="338"/>
    <col width="2.4" customWidth="1" min="339" max="339"/>
    <col width="2.4" customWidth="1" min="340" max="340"/>
    <col width="2.4" customWidth="1" min="341" max="341"/>
    <col width="2.4" customWidth="1" min="342" max="342"/>
    <col width="2.4" customWidth="1" min="343" max="343"/>
    <col width="2.4" customWidth="1" min="344" max="344"/>
    <col width="2.4" customWidth="1" min="345" max="345"/>
    <col width="2.4" customWidth="1" min="346" max="346"/>
    <col width="2.4" customWidth="1" min="347" max="347"/>
    <col width="2.4" customWidth="1" min="348" max="348"/>
    <col width="2.4" customWidth="1" min="349" max="349"/>
    <col width="2.4" customWidth="1" min="350" max="350"/>
    <col width="2.4" customWidth="1" min="351" max="351"/>
    <col width="2.4" customWidth="1" min="352" max="352"/>
    <col width="2.4" customWidth="1" min="353" max="353"/>
    <col width="2.4" customWidth="1" min="354" max="354"/>
    <col width="2.4" customWidth="1" min="355" max="355"/>
    <col width="2.4" customWidth="1" min="356" max="356"/>
    <col width="2.4" customWidth="1" min="357" max="357"/>
    <col width="2.4" customWidth="1" min="358" max="358"/>
    <col width="2.4" customWidth="1" min="359" max="359"/>
    <col width="2.4" customWidth="1" min="360" max="360"/>
    <col width="2.4" customWidth="1" min="361" max="361"/>
    <col width="2.4" customWidth="1" min="362" max="362"/>
    <col width="2.4" customWidth="1" min="363" max="363"/>
    <col width="2.4" customWidth="1" min="364" max="364"/>
    <col width="2.4" customWidth="1" min="365" max="365"/>
    <col width="2.4" customWidth="1" min="366" max="366"/>
    <col width="2.4" customWidth="1" min="367" max="367"/>
    <col width="2.4" customWidth="1" min="368" max="368"/>
    <col width="2.4" customWidth="1" min="369" max="369"/>
    <col width="2.4" customWidth="1" min="370" max="370"/>
    <col width="2.4" customWidth="1" min="371" max="371"/>
    <col width="2.4" customWidth="1" min="372" max="372"/>
  </cols>
  <sheetData>
    <row r="1" ht="30" customHeight="1">
      <c r="A1" s="10" t="inlineStr">
        <is>
          <t>2026년</t>
        </is>
      </c>
      <c r="H1" s="11" t="inlineStr">
        <is>
          <t>1월</t>
        </is>
      </c>
      <c r="AM1" s="11" t="inlineStr">
        <is>
          <t>2월</t>
        </is>
      </c>
      <c r="BO1" s="11" t="inlineStr">
        <is>
          <t>3월</t>
        </is>
      </c>
      <c r="CT1" s="11" t="inlineStr">
        <is>
          <t>4월</t>
        </is>
      </c>
      <c r="DX1" s="11" t="inlineStr">
        <is>
          <t>5월</t>
        </is>
      </c>
      <c r="FC1" s="11" t="inlineStr">
        <is>
          <t>6월</t>
        </is>
      </c>
      <c r="GG1" s="11" t="inlineStr">
        <is>
          <t>7월</t>
        </is>
      </c>
      <c r="HL1" s="11" t="inlineStr">
        <is>
          <t>8월</t>
        </is>
      </c>
      <c r="IQ1" s="11" t="inlineStr">
        <is>
          <t>9월</t>
        </is>
      </c>
      <c r="JU1" s="11" t="inlineStr">
        <is>
          <t>10월</t>
        </is>
      </c>
      <c r="KZ1" s="11" t="inlineStr">
        <is>
          <t>11월</t>
        </is>
      </c>
      <c r="MD1" s="11" t="inlineStr">
        <is>
          <t>12월</t>
        </is>
      </c>
    </row>
    <row r="2" ht="30" customHeight="1">
      <c r="A2" s="2" t="inlineStr">
        <is>
          <t>직원</t>
        </is>
      </c>
      <c r="B2" s="2" t="inlineStr">
        <is>
          <t>업무 (공종)</t>
        </is>
      </c>
      <c r="C2" s="2" t="inlineStr">
        <is>
          <t>시작</t>
        </is>
      </c>
      <c r="D2" s="2" t="inlineStr">
        <is>
          <t>종료</t>
        </is>
      </c>
      <c r="H2" s="12" t="n">
        <v>46023</v>
      </c>
      <c r="I2" s="12" t="n">
        <v>46024</v>
      </c>
      <c r="J2" s="12" t="n">
        <v>46025</v>
      </c>
      <c r="K2" s="12" t="n">
        <v>46026</v>
      </c>
      <c r="L2" s="12" t="n">
        <v>46027</v>
      </c>
      <c r="M2" s="12" t="n">
        <v>46028</v>
      </c>
      <c r="N2" s="12" t="n">
        <v>46029</v>
      </c>
      <c r="O2" s="12" t="n">
        <v>46030</v>
      </c>
      <c r="P2" s="12" t="n">
        <v>46031</v>
      </c>
      <c r="Q2" s="12" t="n">
        <v>46032</v>
      </c>
      <c r="R2" s="12" t="n">
        <v>46033</v>
      </c>
      <c r="S2" s="12" t="n">
        <v>46034</v>
      </c>
      <c r="T2" s="12" t="n">
        <v>46035</v>
      </c>
      <c r="U2" s="12" t="n">
        <v>46036</v>
      </c>
      <c r="V2" s="12" t="n">
        <v>46037</v>
      </c>
      <c r="W2" s="12" t="n">
        <v>46038</v>
      </c>
      <c r="X2" s="12" t="n">
        <v>46039</v>
      </c>
      <c r="Y2" s="12" t="n">
        <v>46040</v>
      </c>
      <c r="Z2" s="12" t="n">
        <v>46041</v>
      </c>
      <c r="AA2" s="12" t="n">
        <v>46042</v>
      </c>
      <c r="AB2" s="12" t="n">
        <v>46043</v>
      </c>
      <c r="AC2" s="12" t="n">
        <v>46044</v>
      </c>
      <c r="AD2" s="12" t="n">
        <v>46045</v>
      </c>
      <c r="AE2" s="12" t="n">
        <v>46046</v>
      </c>
      <c r="AF2" s="12" t="n">
        <v>46047</v>
      </c>
      <c r="AG2" s="12" t="n">
        <v>46048</v>
      </c>
      <c r="AH2" s="12" t="n">
        <v>46049</v>
      </c>
      <c r="AI2" s="12" t="n">
        <v>46050</v>
      </c>
      <c r="AJ2" s="12" t="n">
        <v>46051</v>
      </c>
      <c r="AK2" s="12" t="n">
        <v>46052</v>
      </c>
      <c r="AL2" s="12" t="n">
        <v>46053</v>
      </c>
      <c r="AM2" s="12" t="n">
        <v>46054</v>
      </c>
      <c r="AN2" s="12" t="n">
        <v>46055</v>
      </c>
      <c r="AO2" s="12" t="n">
        <v>46056</v>
      </c>
      <c r="AP2" s="12" t="n">
        <v>46057</v>
      </c>
      <c r="AQ2" s="12" t="n">
        <v>46058</v>
      </c>
      <c r="AR2" s="12" t="n">
        <v>46059</v>
      </c>
      <c r="AS2" s="12" t="n">
        <v>46060</v>
      </c>
      <c r="AT2" s="12" t="n">
        <v>46061</v>
      </c>
      <c r="AU2" s="12" t="n">
        <v>46062</v>
      </c>
      <c r="AV2" s="12" t="n">
        <v>46063</v>
      </c>
      <c r="AW2" s="12" t="n">
        <v>46064</v>
      </c>
      <c r="AX2" s="12" t="n">
        <v>46065</v>
      </c>
      <c r="AY2" s="12" t="n">
        <v>46066</v>
      </c>
      <c r="AZ2" s="12" t="n">
        <v>46067</v>
      </c>
      <c r="BA2" s="12" t="n">
        <v>46068</v>
      </c>
      <c r="BB2" s="12" t="n">
        <v>46069</v>
      </c>
      <c r="BC2" s="12" t="n">
        <v>46070</v>
      </c>
      <c r="BD2" s="12" t="n">
        <v>46071</v>
      </c>
      <c r="BE2" s="12" t="n">
        <v>46072</v>
      </c>
      <c r="BF2" s="12" t="n">
        <v>46073</v>
      </c>
      <c r="BG2" s="12" t="n">
        <v>46074</v>
      </c>
      <c r="BH2" s="12" t="n">
        <v>46075</v>
      </c>
      <c r="BI2" s="12" t="n">
        <v>46076</v>
      </c>
      <c r="BJ2" s="12" t="n">
        <v>46077</v>
      </c>
      <c r="BK2" s="12" t="n">
        <v>46078</v>
      </c>
      <c r="BL2" s="12" t="n">
        <v>46079</v>
      </c>
      <c r="BM2" s="12" t="n">
        <v>46080</v>
      </c>
      <c r="BN2" s="12" t="n">
        <v>46081</v>
      </c>
      <c r="BO2" s="12" t="n">
        <v>46082</v>
      </c>
      <c r="BP2" s="12" t="n">
        <v>46083</v>
      </c>
      <c r="BQ2" s="12" t="n">
        <v>46084</v>
      </c>
      <c r="BR2" s="12" t="n">
        <v>46085</v>
      </c>
      <c r="BS2" s="12" t="n">
        <v>46086</v>
      </c>
      <c r="BT2" s="12" t="n">
        <v>46087</v>
      </c>
      <c r="BU2" s="12" t="n">
        <v>46088</v>
      </c>
      <c r="BV2" s="12" t="n">
        <v>46089</v>
      </c>
      <c r="BW2" s="12" t="n">
        <v>46090</v>
      </c>
      <c r="BX2" s="12" t="n">
        <v>46091</v>
      </c>
      <c r="BY2" s="12" t="n">
        <v>46092</v>
      </c>
      <c r="BZ2" s="12" t="n">
        <v>46093</v>
      </c>
      <c r="CA2" s="12" t="n">
        <v>46094</v>
      </c>
      <c r="CB2" s="12" t="n">
        <v>46095</v>
      </c>
      <c r="CC2" s="12" t="n">
        <v>46096</v>
      </c>
      <c r="CD2" s="12" t="n">
        <v>46097</v>
      </c>
      <c r="CE2" s="12" t="n">
        <v>46098</v>
      </c>
      <c r="CF2" s="12" t="n">
        <v>46099</v>
      </c>
      <c r="CG2" s="12" t="n">
        <v>46100</v>
      </c>
      <c r="CH2" s="12" t="n">
        <v>46101</v>
      </c>
      <c r="CI2" s="12" t="n">
        <v>46102</v>
      </c>
      <c r="CJ2" s="12" t="n">
        <v>46103</v>
      </c>
      <c r="CK2" s="12" t="n">
        <v>46104</v>
      </c>
      <c r="CL2" s="12" t="n">
        <v>46105</v>
      </c>
      <c r="CM2" s="12" t="n">
        <v>46106</v>
      </c>
      <c r="CN2" s="12" t="n">
        <v>46107</v>
      </c>
      <c r="CO2" s="12" t="n">
        <v>46108</v>
      </c>
      <c r="CP2" s="12" t="n">
        <v>46109</v>
      </c>
      <c r="CQ2" s="12" t="n">
        <v>46110</v>
      </c>
      <c r="CR2" s="12" t="n">
        <v>46111</v>
      </c>
      <c r="CS2" s="12" t="n">
        <v>46112</v>
      </c>
      <c r="CT2" s="12" t="n">
        <v>46113</v>
      </c>
      <c r="CU2" s="12" t="n">
        <v>46114</v>
      </c>
      <c r="CV2" s="12" t="n">
        <v>46115</v>
      </c>
      <c r="CW2" s="12" t="n">
        <v>46116</v>
      </c>
      <c r="CX2" s="12" t="n">
        <v>46117</v>
      </c>
      <c r="CY2" s="12" t="n">
        <v>46118</v>
      </c>
      <c r="CZ2" s="12" t="n">
        <v>46119</v>
      </c>
      <c r="DA2" s="12" t="n">
        <v>46120</v>
      </c>
      <c r="DB2" s="12" t="n">
        <v>46121</v>
      </c>
      <c r="DC2" s="12" t="n">
        <v>46122</v>
      </c>
      <c r="DD2" s="12" t="n">
        <v>46123</v>
      </c>
      <c r="DE2" s="12" t="n">
        <v>46124</v>
      </c>
      <c r="DF2" s="12" t="n">
        <v>46125</v>
      </c>
      <c r="DG2" s="12" t="n">
        <v>46126</v>
      </c>
      <c r="DH2" s="12" t="n">
        <v>46127</v>
      </c>
      <c r="DI2" s="12" t="n">
        <v>46128</v>
      </c>
      <c r="DJ2" s="12" t="n">
        <v>46129</v>
      </c>
      <c r="DK2" s="12" t="n">
        <v>46130</v>
      </c>
      <c r="DL2" s="12" t="n">
        <v>46131</v>
      </c>
      <c r="DM2" s="12" t="n">
        <v>46132</v>
      </c>
      <c r="DN2" s="12" t="n">
        <v>46133</v>
      </c>
      <c r="DO2" s="12" t="n">
        <v>46134</v>
      </c>
      <c r="DP2" s="12" t="n">
        <v>46135</v>
      </c>
      <c r="DQ2" s="12" t="n">
        <v>46136</v>
      </c>
      <c r="DR2" s="12" t="n">
        <v>46137</v>
      </c>
      <c r="DS2" s="12" t="n">
        <v>46138</v>
      </c>
      <c r="DT2" s="12" t="n">
        <v>46139</v>
      </c>
      <c r="DU2" s="12" t="n">
        <v>46140</v>
      </c>
      <c r="DV2" s="12" t="n">
        <v>46141</v>
      </c>
      <c r="DW2" s="12" t="n">
        <v>46142</v>
      </c>
      <c r="DX2" s="12" t="n">
        <v>46143</v>
      </c>
      <c r="DY2" s="12" t="n">
        <v>46144</v>
      </c>
      <c r="DZ2" s="12" t="n">
        <v>46145</v>
      </c>
      <c r="EA2" s="12" t="n">
        <v>46146</v>
      </c>
      <c r="EB2" s="12" t="n">
        <v>46147</v>
      </c>
      <c r="EC2" s="12" t="n">
        <v>46148</v>
      </c>
      <c r="ED2" s="12" t="n">
        <v>46149</v>
      </c>
      <c r="EE2" s="12" t="n">
        <v>46150</v>
      </c>
      <c r="EF2" s="12" t="n">
        <v>46151</v>
      </c>
      <c r="EG2" s="12" t="n">
        <v>46152</v>
      </c>
      <c r="EH2" s="12" t="n">
        <v>46153</v>
      </c>
      <c r="EI2" s="12" t="n">
        <v>46154</v>
      </c>
      <c r="EJ2" s="12" t="n">
        <v>46155</v>
      </c>
      <c r="EK2" s="12" t="n">
        <v>46156</v>
      </c>
      <c r="EL2" s="12" t="n">
        <v>46157</v>
      </c>
      <c r="EM2" s="12" t="n">
        <v>46158</v>
      </c>
      <c r="EN2" s="12" t="n">
        <v>46159</v>
      </c>
      <c r="EO2" s="12" t="n">
        <v>46160</v>
      </c>
      <c r="EP2" s="12" t="n">
        <v>46161</v>
      </c>
      <c r="EQ2" s="12" t="n">
        <v>46162</v>
      </c>
      <c r="ER2" s="12" t="n">
        <v>46163</v>
      </c>
      <c r="ES2" s="12" t="n">
        <v>46164</v>
      </c>
      <c r="ET2" s="12" t="n">
        <v>46165</v>
      </c>
      <c r="EU2" s="12" t="n">
        <v>46166</v>
      </c>
      <c r="EV2" s="12" t="n">
        <v>46167</v>
      </c>
      <c r="EW2" s="12" t="n">
        <v>46168</v>
      </c>
      <c r="EX2" s="12" t="n">
        <v>46169</v>
      </c>
      <c r="EY2" s="12" t="n">
        <v>46170</v>
      </c>
      <c r="EZ2" s="12" t="n">
        <v>46171</v>
      </c>
      <c r="FA2" s="12" t="n">
        <v>46172</v>
      </c>
      <c r="FB2" s="12" t="n">
        <v>46173</v>
      </c>
      <c r="FC2" s="12" t="n">
        <v>46174</v>
      </c>
      <c r="FD2" s="12" t="n">
        <v>46175</v>
      </c>
      <c r="FE2" s="12" t="n">
        <v>46176</v>
      </c>
      <c r="FF2" s="12" t="n">
        <v>46177</v>
      </c>
      <c r="FG2" s="12" t="n">
        <v>46178</v>
      </c>
      <c r="FH2" s="12" t="n">
        <v>46179</v>
      </c>
      <c r="FI2" s="12" t="n">
        <v>46180</v>
      </c>
      <c r="FJ2" s="12" t="n">
        <v>46181</v>
      </c>
      <c r="FK2" s="12" t="n">
        <v>46182</v>
      </c>
      <c r="FL2" s="12" t="n">
        <v>46183</v>
      </c>
      <c r="FM2" s="12" t="n">
        <v>46184</v>
      </c>
      <c r="FN2" s="12" t="n">
        <v>46185</v>
      </c>
      <c r="FO2" s="12" t="n">
        <v>46186</v>
      </c>
      <c r="FP2" s="12" t="n">
        <v>46187</v>
      </c>
      <c r="FQ2" s="12" t="n">
        <v>46188</v>
      </c>
      <c r="FR2" s="12" t="n">
        <v>46189</v>
      </c>
      <c r="FS2" s="12" t="n">
        <v>46190</v>
      </c>
      <c r="FT2" s="12" t="n">
        <v>46191</v>
      </c>
      <c r="FU2" s="12" t="n">
        <v>46192</v>
      </c>
      <c r="FV2" s="12" t="n">
        <v>46193</v>
      </c>
      <c r="FW2" s="12" t="n">
        <v>46194</v>
      </c>
      <c r="FX2" s="12" t="n">
        <v>46195</v>
      </c>
      <c r="FY2" s="12" t="n">
        <v>46196</v>
      </c>
      <c r="FZ2" s="12" t="n">
        <v>46197</v>
      </c>
      <c r="GA2" s="12" t="n">
        <v>46198</v>
      </c>
      <c r="GB2" s="12" t="n">
        <v>46199</v>
      </c>
      <c r="GC2" s="12" t="n">
        <v>46200</v>
      </c>
      <c r="GD2" s="12" t="n">
        <v>46201</v>
      </c>
      <c r="GE2" s="12" t="n">
        <v>46202</v>
      </c>
      <c r="GF2" s="12" t="n">
        <v>46203</v>
      </c>
      <c r="GG2" s="12" t="n">
        <v>46204</v>
      </c>
      <c r="GH2" s="12" t="n">
        <v>46205</v>
      </c>
      <c r="GI2" s="12" t="n">
        <v>46206</v>
      </c>
      <c r="GJ2" s="12" t="n">
        <v>46207</v>
      </c>
      <c r="GK2" s="12" t="n">
        <v>46208</v>
      </c>
      <c r="GL2" s="12" t="n">
        <v>46209</v>
      </c>
      <c r="GM2" s="12" t="n">
        <v>46210</v>
      </c>
      <c r="GN2" s="12" t="n">
        <v>46211</v>
      </c>
      <c r="GO2" s="12" t="n">
        <v>46212</v>
      </c>
      <c r="GP2" s="12" t="n">
        <v>46213</v>
      </c>
      <c r="GQ2" s="12" t="n">
        <v>46214</v>
      </c>
      <c r="GR2" s="12" t="n">
        <v>46215</v>
      </c>
      <c r="GS2" s="12" t="n">
        <v>46216</v>
      </c>
      <c r="GT2" s="12" t="n">
        <v>46217</v>
      </c>
      <c r="GU2" s="12" t="n">
        <v>46218</v>
      </c>
      <c r="GV2" s="12" t="n">
        <v>46219</v>
      </c>
      <c r="GW2" s="12" t="n">
        <v>46220</v>
      </c>
      <c r="GX2" s="12" t="n">
        <v>46221</v>
      </c>
      <c r="GY2" s="12" t="n">
        <v>46222</v>
      </c>
      <c r="GZ2" s="12" t="n">
        <v>46223</v>
      </c>
      <c r="HA2" s="12" t="n">
        <v>46224</v>
      </c>
      <c r="HB2" s="12" t="n">
        <v>46225</v>
      </c>
      <c r="HC2" s="12" t="n">
        <v>46226</v>
      </c>
      <c r="HD2" s="12" t="n">
        <v>46227</v>
      </c>
      <c r="HE2" s="12" t="n">
        <v>46228</v>
      </c>
      <c r="HF2" s="12" t="n">
        <v>46229</v>
      </c>
      <c r="HG2" s="12" t="n">
        <v>46230</v>
      </c>
      <c r="HH2" s="12" t="n">
        <v>46231</v>
      </c>
      <c r="HI2" s="12" t="n">
        <v>46232</v>
      </c>
      <c r="HJ2" s="12" t="n">
        <v>46233</v>
      </c>
      <c r="HK2" s="12" t="n">
        <v>46234</v>
      </c>
      <c r="HL2" s="12" t="n">
        <v>46235</v>
      </c>
      <c r="HM2" s="12" t="n">
        <v>46236</v>
      </c>
      <c r="HN2" s="12" t="n">
        <v>46237</v>
      </c>
      <c r="HO2" s="12" t="n">
        <v>46238</v>
      </c>
      <c r="HP2" s="12" t="n">
        <v>46239</v>
      </c>
      <c r="HQ2" s="12" t="n">
        <v>46240</v>
      </c>
      <c r="HR2" s="12" t="n">
        <v>46241</v>
      </c>
      <c r="HS2" s="12" t="n">
        <v>46242</v>
      </c>
      <c r="HT2" s="12" t="n">
        <v>46243</v>
      </c>
      <c r="HU2" s="12" t="n">
        <v>46244</v>
      </c>
      <c r="HV2" s="12" t="n">
        <v>46245</v>
      </c>
      <c r="HW2" s="12" t="n">
        <v>46246</v>
      </c>
      <c r="HX2" s="12" t="n">
        <v>46247</v>
      </c>
      <c r="HY2" s="12" t="n">
        <v>46248</v>
      </c>
      <c r="HZ2" s="12" t="n">
        <v>46249</v>
      </c>
      <c r="IA2" s="12" t="n">
        <v>46250</v>
      </c>
      <c r="IB2" s="12" t="n">
        <v>46251</v>
      </c>
      <c r="IC2" s="12" t="n">
        <v>46252</v>
      </c>
      <c r="ID2" s="12" t="n">
        <v>46253</v>
      </c>
      <c r="IE2" s="12" t="n">
        <v>46254</v>
      </c>
      <c r="IF2" s="12" t="n">
        <v>46255</v>
      </c>
      <c r="IG2" s="12" t="n">
        <v>46256</v>
      </c>
      <c r="IH2" s="12" t="n">
        <v>46257</v>
      </c>
      <c r="II2" s="12" t="n">
        <v>46258</v>
      </c>
      <c r="IJ2" s="12" t="n">
        <v>46259</v>
      </c>
      <c r="IK2" s="12" t="n">
        <v>46260</v>
      </c>
      <c r="IL2" s="12" t="n">
        <v>46261</v>
      </c>
      <c r="IM2" s="12" t="n">
        <v>46262</v>
      </c>
      <c r="IN2" s="12" t="n">
        <v>46263</v>
      </c>
      <c r="IO2" s="12" t="n">
        <v>46264</v>
      </c>
      <c r="IP2" s="12" t="n">
        <v>46265</v>
      </c>
      <c r="IQ2" s="12" t="n">
        <v>46266</v>
      </c>
      <c r="IR2" s="12" t="n">
        <v>46267</v>
      </c>
      <c r="IS2" s="12" t="n">
        <v>46268</v>
      </c>
      <c r="IT2" s="12" t="n">
        <v>46269</v>
      </c>
      <c r="IU2" s="12" t="n">
        <v>46270</v>
      </c>
      <c r="IV2" s="12" t="n">
        <v>46271</v>
      </c>
      <c r="IW2" s="12" t="n">
        <v>46272</v>
      </c>
      <c r="IX2" s="12" t="n">
        <v>46273</v>
      </c>
      <c r="IY2" s="12" t="n">
        <v>46274</v>
      </c>
      <c r="IZ2" s="12" t="n">
        <v>46275</v>
      </c>
      <c r="JA2" s="12" t="n">
        <v>46276</v>
      </c>
      <c r="JB2" s="12" t="n">
        <v>46277</v>
      </c>
      <c r="JC2" s="12" t="n">
        <v>46278</v>
      </c>
      <c r="JD2" s="12" t="n">
        <v>46279</v>
      </c>
      <c r="JE2" s="12" t="n">
        <v>46280</v>
      </c>
      <c r="JF2" s="12" t="n">
        <v>46281</v>
      </c>
      <c r="JG2" s="12" t="n">
        <v>46282</v>
      </c>
      <c r="JH2" s="12" t="n">
        <v>46283</v>
      </c>
      <c r="JI2" s="12" t="n">
        <v>46284</v>
      </c>
      <c r="JJ2" s="12" t="n">
        <v>46285</v>
      </c>
      <c r="JK2" s="12" t="n">
        <v>46286</v>
      </c>
      <c r="JL2" s="12" t="n">
        <v>46287</v>
      </c>
      <c r="JM2" s="12" t="n">
        <v>46288</v>
      </c>
      <c r="JN2" s="12" t="n">
        <v>46289</v>
      </c>
      <c r="JO2" s="12" t="n">
        <v>46290</v>
      </c>
      <c r="JP2" s="12" t="n">
        <v>46291</v>
      </c>
      <c r="JQ2" s="12" t="n">
        <v>46292</v>
      </c>
      <c r="JR2" s="12" t="n">
        <v>46293</v>
      </c>
      <c r="JS2" s="12" t="n">
        <v>46294</v>
      </c>
      <c r="JT2" s="12" t="n">
        <v>46295</v>
      </c>
      <c r="JU2" s="12" t="n">
        <v>46296</v>
      </c>
      <c r="JV2" s="12" t="n">
        <v>46297</v>
      </c>
      <c r="JW2" s="12" t="n">
        <v>46298</v>
      </c>
      <c r="JX2" s="12" t="n">
        <v>46299</v>
      </c>
      <c r="JY2" s="12" t="n">
        <v>46300</v>
      </c>
      <c r="JZ2" s="12" t="n">
        <v>46301</v>
      </c>
      <c r="KA2" s="12" t="n">
        <v>46302</v>
      </c>
      <c r="KB2" s="12" t="n">
        <v>46303</v>
      </c>
      <c r="KC2" s="12" t="n">
        <v>46304</v>
      </c>
      <c r="KD2" s="12" t="n">
        <v>46305</v>
      </c>
      <c r="KE2" s="12" t="n">
        <v>46306</v>
      </c>
      <c r="KF2" s="12" t="n">
        <v>46307</v>
      </c>
      <c r="KG2" s="12" t="n">
        <v>46308</v>
      </c>
      <c r="KH2" s="12" t="n">
        <v>46309</v>
      </c>
      <c r="KI2" s="12" t="n">
        <v>46310</v>
      </c>
      <c r="KJ2" s="12" t="n">
        <v>46311</v>
      </c>
      <c r="KK2" s="12" t="n">
        <v>46312</v>
      </c>
      <c r="KL2" s="12" t="n">
        <v>46313</v>
      </c>
      <c r="KM2" s="12" t="n">
        <v>46314</v>
      </c>
      <c r="KN2" s="12" t="n">
        <v>46315</v>
      </c>
      <c r="KO2" s="12" t="n">
        <v>46316</v>
      </c>
      <c r="KP2" s="12" t="n">
        <v>46317</v>
      </c>
      <c r="KQ2" s="12" t="n">
        <v>46318</v>
      </c>
      <c r="KR2" s="12" t="n">
        <v>46319</v>
      </c>
      <c r="KS2" s="12" t="n">
        <v>46320</v>
      </c>
      <c r="KT2" s="12" t="n">
        <v>46321</v>
      </c>
      <c r="KU2" s="12" t="n">
        <v>46322</v>
      </c>
      <c r="KV2" s="12" t="n">
        <v>46323</v>
      </c>
      <c r="KW2" s="12" t="n">
        <v>46324</v>
      </c>
      <c r="KX2" s="12" t="n">
        <v>46325</v>
      </c>
      <c r="KY2" s="12" t="n">
        <v>46326</v>
      </c>
      <c r="KZ2" s="12" t="n">
        <v>46327</v>
      </c>
      <c r="LA2" s="12" t="n">
        <v>46328</v>
      </c>
      <c r="LB2" s="12" t="n">
        <v>46329</v>
      </c>
      <c r="LC2" s="12" t="n">
        <v>46330</v>
      </c>
      <c r="LD2" s="12" t="n">
        <v>46331</v>
      </c>
      <c r="LE2" s="12" t="n">
        <v>46332</v>
      </c>
      <c r="LF2" s="12" t="n">
        <v>46333</v>
      </c>
      <c r="LG2" s="12" t="n">
        <v>46334</v>
      </c>
      <c r="LH2" s="12" t="n">
        <v>46335</v>
      </c>
      <c r="LI2" s="12" t="n">
        <v>46336</v>
      </c>
      <c r="LJ2" s="12" t="n">
        <v>46337</v>
      </c>
      <c r="LK2" s="12" t="n">
        <v>46338</v>
      </c>
      <c r="LL2" s="12" t="n">
        <v>46339</v>
      </c>
      <c r="LM2" s="12" t="n">
        <v>46340</v>
      </c>
      <c r="LN2" s="12" t="n">
        <v>46341</v>
      </c>
      <c r="LO2" s="12" t="n">
        <v>46342</v>
      </c>
      <c r="LP2" s="12" t="n">
        <v>46343</v>
      </c>
      <c r="LQ2" s="12" t="n">
        <v>46344</v>
      </c>
      <c r="LR2" s="12" t="n">
        <v>46345</v>
      </c>
      <c r="LS2" s="12" t="n">
        <v>46346</v>
      </c>
      <c r="LT2" s="12" t="n">
        <v>46347</v>
      </c>
      <c r="LU2" s="12" t="n">
        <v>46348</v>
      </c>
      <c r="LV2" s="12" t="n">
        <v>46349</v>
      </c>
      <c r="LW2" s="12" t="n">
        <v>46350</v>
      </c>
      <c r="LX2" s="12" t="n">
        <v>46351</v>
      </c>
      <c r="LY2" s="12" t="n">
        <v>46352</v>
      </c>
      <c r="LZ2" s="12" t="n">
        <v>46353</v>
      </c>
      <c r="MA2" s="12" t="n">
        <v>46354</v>
      </c>
      <c r="MB2" s="12" t="n">
        <v>46355</v>
      </c>
      <c r="MC2" s="12" t="n">
        <v>46356</v>
      </c>
      <c r="MD2" s="12" t="n">
        <v>46357</v>
      </c>
      <c r="ME2" s="12" t="n">
        <v>46358</v>
      </c>
      <c r="MF2" s="12" t="n">
        <v>46359</v>
      </c>
      <c r="MG2" s="12" t="n">
        <v>46360</v>
      </c>
      <c r="MH2" s="12" t="n">
        <v>46361</v>
      </c>
      <c r="MI2" s="12" t="n">
        <v>46362</v>
      </c>
      <c r="MJ2" s="12" t="n">
        <v>46363</v>
      </c>
      <c r="MK2" s="12" t="n">
        <v>46364</v>
      </c>
      <c r="ML2" s="12" t="n">
        <v>46365</v>
      </c>
      <c r="MM2" s="12" t="n">
        <v>46366</v>
      </c>
      <c r="MN2" s="12" t="n">
        <v>46367</v>
      </c>
      <c r="MO2" s="12" t="n">
        <v>46368</v>
      </c>
      <c r="MP2" s="12" t="n">
        <v>46369</v>
      </c>
      <c r="MQ2" s="12" t="n">
        <v>46370</v>
      </c>
      <c r="MR2" s="12" t="n">
        <v>46371</v>
      </c>
      <c r="MS2" s="12" t="n">
        <v>46372</v>
      </c>
      <c r="MT2" s="12" t="n">
        <v>46373</v>
      </c>
      <c r="MU2" s="12" t="n">
        <v>46374</v>
      </c>
      <c r="MV2" s="12" t="n">
        <v>46375</v>
      </c>
      <c r="MW2" s="12" t="n">
        <v>46376</v>
      </c>
      <c r="MX2" s="12" t="n">
        <v>46377</v>
      </c>
      <c r="MY2" s="12" t="n">
        <v>46378</v>
      </c>
      <c r="MZ2" s="12" t="n">
        <v>46379</v>
      </c>
      <c r="NA2" s="12" t="n">
        <v>46380</v>
      </c>
      <c r="NB2" s="12" t="n">
        <v>46381</v>
      </c>
      <c r="NC2" s="12" t="n">
        <v>46382</v>
      </c>
      <c r="ND2" s="12" t="n">
        <v>46383</v>
      </c>
      <c r="NE2" s="12" t="n">
        <v>46384</v>
      </c>
      <c r="NF2" s="12" t="n">
        <v>46385</v>
      </c>
      <c r="NG2" s="12" t="n">
        <v>46386</v>
      </c>
      <c r="NH2" s="12" t="n">
        <v>46387</v>
      </c>
    </row>
    <row r="3" ht="30" customHeight="1">
      <c r="A3" s="13" t="inlineStr">
        <is>
          <t>[ 국내 마감팀 ]</t>
        </is>
      </c>
      <c r="B3" s="3" t="n"/>
      <c r="C3" s="3" t="n"/>
      <c r="D3" s="3" t="n"/>
      <c r="E3" s="3" t="n"/>
      <c r="F3" s="3" t="n"/>
      <c r="G3" s="4" t="n"/>
    </row>
    <row r="4" ht="30" customHeight="1">
      <c r="A4" s="14" t="inlineStr">
        <is>
          <t>최영배 본부장</t>
        </is>
      </c>
      <c r="B4" s="15">
        <f>IF($F4="","",INDEX(배정!$B$2:$B$541,$F4)&amp;" ("&amp;INDEX(배정!$C$2:$C$541,$F4)&amp;")")</f>
        <v/>
      </c>
      <c r="C4" s="16">
        <f>IF($F4="","",INDEX(배정!$D$2:$D$541,$F4))</f>
        <v/>
      </c>
      <c r="D4" s="16">
        <f>IF($F4="","",INDEX(배정!$E$2:$E$541,$F4))</f>
        <v/>
      </c>
      <c r="E4" t="inlineStr">
        <is>
          <t>최영배</t>
        </is>
      </c>
      <c r="F4">
        <f>IF(ISNA(MATCH($E4&amp;"|"&amp;1,배정!$G$2:$G$541,0)),"",MATCH($E4&amp;"|"&amp;1,배정!$G$2:$G$541,0))</f>
        <v/>
      </c>
      <c r="G4">
        <f>IF($F4="","",INDEX(배정!$C$2:$C$541,$F4))</f>
        <v/>
      </c>
    </row>
    <row r="5" ht="30" customHeight="1">
      <c r="A5" s="17" t="n"/>
      <c r="B5" s="15">
        <f>IF($F5="","",INDEX(배정!$B$2:$B$541,$F5)&amp;" ("&amp;INDEX(배정!$C$2:$C$541,$F5)&amp;")")</f>
        <v/>
      </c>
      <c r="C5" s="16">
        <f>IF($F5="","",INDEX(배정!$D$2:$D$541,$F5))</f>
        <v/>
      </c>
      <c r="D5" s="16">
        <f>IF($F5="","",INDEX(배정!$E$2:$E$541,$F5))</f>
        <v/>
      </c>
      <c r="E5" t="inlineStr">
        <is>
          <t>최영배</t>
        </is>
      </c>
      <c r="F5">
        <f>IF(ISNA(MATCH($E5&amp;"|"&amp;2,배정!$G$2:$G$541,0)),"",MATCH($E5&amp;"|"&amp;2,배정!$G$2:$G$541,0))</f>
        <v/>
      </c>
      <c r="G5">
        <f>IF($F5="","",INDEX(배정!$C$2:$C$541,$F5))</f>
        <v/>
      </c>
    </row>
    <row r="6" ht="30" customHeight="1">
      <c r="A6" s="17" t="n"/>
      <c r="B6" s="15">
        <f>IF($F6="","",INDEX(배정!$B$2:$B$541,$F6)&amp;" ("&amp;INDEX(배정!$C$2:$C$541,$F6)&amp;")")</f>
        <v/>
      </c>
      <c r="C6" s="16">
        <f>IF($F6="","",INDEX(배정!$D$2:$D$541,$F6))</f>
        <v/>
      </c>
      <c r="D6" s="16">
        <f>IF($F6="","",INDEX(배정!$E$2:$E$541,$F6))</f>
        <v/>
      </c>
      <c r="E6" t="inlineStr">
        <is>
          <t>최영배</t>
        </is>
      </c>
      <c r="F6">
        <f>IF(ISNA(MATCH($E6&amp;"|"&amp;3,배정!$G$2:$G$541,0)),"",MATCH($E6&amp;"|"&amp;3,배정!$G$2:$G$541,0))</f>
        <v/>
      </c>
      <c r="G6">
        <f>IF($F6="","",INDEX(배정!$C$2:$C$541,$F6))</f>
        <v/>
      </c>
    </row>
    <row r="7" ht="30" customHeight="1">
      <c r="A7" s="17" t="n"/>
      <c r="B7" s="15">
        <f>IF($F7="","",INDEX(배정!$B$2:$B$541,$F7)&amp;" ("&amp;INDEX(배정!$C$2:$C$541,$F7)&amp;")")</f>
        <v/>
      </c>
      <c r="C7" s="16">
        <f>IF($F7="","",INDEX(배정!$D$2:$D$541,$F7))</f>
        <v/>
      </c>
      <c r="D7" s="16">
        <f>IF($F7="","",INDEX(배정!$E$2:$E$541,$F7))</f>
        <v/>
      </c>
      <c r="E7" t="inlineStr">
        <is>
          <t>최영배</t>
        </is>
      </c>
      <c r="F7">
        <f>IF(ISNA(MATCH($E7&amp;"|"&amp;4,배정!$G$2:$G$541,0)),"",MATCH($E7&amp;"|"&amp;4,배정!$G$2:$G$541,0))</f>
        <v/>
      </c>
      <c r="G7">
        <f>IF($F7="","",INDEX(배정!$C$2:$C$541,$F7))</f>
        <v/>
      </c>
    </row>
    <row r="8" ht="30" customHeight="1">
      <c r="A8" s="17" t="n"/>
      <c r="B8" s="15">
        <f>IF($F8="","",INDEX(배정!$B$2:$B$541,$F8)&amp;" ("&amp;INDEX(배정!$C$2:$C$541,$F8)&amp;")")</f>
        <v/>
      </c>
      <c r="C8" s="16">
        <f>IF($F8="","",INDEX(배정!$D$2:$D$541,$F8))</f>
        <v/>
      </c>
      <c r="D8" s="16">
        <f>IF($F8="","",INDEX(배정!$E$2:$E$541,$F8))</f>
        <v/>
      </c>
      <c r="E8" t="inlineStr">
        <is>
          <t>최영배</t>
        </is>
      </c>
      <c r="F8">
        <f>IF(ISNA(MATCH($E8&amp;"|"&amp;5,배정!$G$2:$G$541,0)),"",MATCH($E8&amp;"|"&amp;5,배정!$G$2:$G$541,0))</f>
        <v/>
      </c>
      <c r="G8">
        <f>IF($F8="","",INDEX(배정!$C$2:$C$541,$F8))</f>
        <v/>
      </c>
    </row>
    <row r="9" ht="30" customHeight="1">
      <c r="A9" s="17" t="n"/>
      <c r="B9" s="15">
        <f>IF($F9="","",INDEX(배정!$B$2:$B$541,$F9)&amp;" ("&amp;INDEX(배정!$C$2:$C$541,$F9)&amp;")")</f>
        <v/>
      </c>
      <c r="C9" s="16">
        <f>IF($F9="","",INDEX(배정!$D$2:$D$541,$F9))</f>
        <v/>
      </c>
      <c r="D9" s="16">
        <f>IF($F9="","",INDEX(배정!$E$2:$E$541,$F9))</f>
        <v/>
      </c>
      <c r="E9" t="inlineStr">
        <is>
          <t>최영배</t>
        </is>
      </c>
      <c r="F9">
        <f>IF(ISNA(MATCH($E9&amp;"|"&amp;6,배정!$G$2:$G$541,0)),"",MATCH($E9&amp;"|"&amp;6,배정!$G$2:$G$541,0))</f>
        <v/>
      </c>
      <c r="G9">
        <f>IF($F9="","",INDEX(배정!$C$2:$C$541,$F9))</f>
        <v/>
      </c>
    </row>
    <row r="10" ht="30" customHeight="1">
      <c r="A10" s="17" t="n"/>
      <c r="B10" s="15">
        <f>IF($F10="","",INDEX(배정!$B$2:$B$541,$F10)&amp;" ("&amp;INDEX(배정!$C$2:$C$541,$F10)&amp;")")</f>
        <v/>
      </c>
      <c r="C10" s="16">
        <f>IF($F10="","",INDEX(배정!$D$2:$D$541,$F10))</f>
        <v/>
      </c>
      <c r="D10" s="16">
        <f>IF($F10="","",INDEX(배정!$E$2:$E$541,$F10))</f>
        <v/>
      </c>
      <c r="E10" t="inlineStr">
        <is>
          <t>최영배</t>
        </is>
      </c>
      <c r="F10">
        <f>IF(ISNA(MATCH($E10&amp;"|"&amp;7,배정!$G$2:$G$541,0)),"",MATCH($E10&amp;"|"&amp;7,배정!$G$2:$G$541,0))</f>
        <v/>
      </c>
      <c r="G10">
        <f>IF($F10="","",INDEX(배정!$C$2:$C$541,$F10))</f>
        <v/>
      </c>
    </row>
    <row r="11" ht="30" customHeight="1">
      <c r="A11" s="17" t="n"/>
      <c r="B11" s="15">
        <f>IF($F11="","",INDEX(배정!$B$2:$B$541,$F11)&amp;" ("&amp;INDEX(배정!$C$2:$C$541,$F11)&amp;")")</f>
        <v/>
      </c>
      <c r="C11" s="16">
        <f>IF($F11="","",INDEX(배정!$D$2:$D$541,$F11))</f>
        <v/>
      </c>
      <c r="D11" s="16">
        <f>IF($F11="","",INDEX(배정!$E$2:$E$541,$F11))</f>
        <v/>
      </c>
      <c r="E11" t="inlineStr">
        <is>
          <t>최영배</t>
        </is>
      </c>
      <c r="F11">
        <f>IF(ISNA(MATCH($E11&amp;"|"&amp;8,배정!$G$2:$G$541,0)),"",MATCH($E11&amp;"|"&amp;8,배정!$G$2:$G$541,0))</f>
        <v/>
      </c>
      <c r="G11">
        <f>IF($F11="","",INDEX(배정!$C$2:$C$541,$F11))</f>
        <v/>
      </c>
    </row>
    <row r="12" ht="30" customHeight="1">
      <c r="A12" s="17" t="n"/>
      <c r="B12" s="15">
        <f>IF($F12="","",INDEX(배정!$B$2:$B$541,$F12)&amp;" ("&amp;INDEX(배정!$C$2:$C$541,$F12)&amp;")")</f>
        <v/>
      </c>
      <c r="C12" s="16">
        <f>IF($F12="","",INDEX(배정!$D$2:$D$541,$F12))</f>
        <v/>
      </c>
      <c r="D12" s="16">
        <f>IF($F12="","",INDEX(배정!$E$2:$E$541,$F12))</f>
        <v/>
      </c>
      <c r="E12" t="inlineStr">
        <is>
          <t>최영배</t>
        </is>
      </c>
      <c r="F12">
        <f>IF(ISNA(MATCH($E12&amp;"|"&amp;9,배정!$G$2:$G$541,0)),"",MATCH($E12&amp;"|"&amp;9,배정!$G$2:$G$541,0))</f>
        <v/>
      </c>
      <c r="G12">
        <f>IF($F12="","",INDEX(배정!$C$2:$C$541,$F12))</f>
        <v/>
      </c>
    </row>
    <row r="13" ht="30" customHeight="1">
      <c r="A13" s="18" t="n"/>
      <c r="B13" s="15">
        <f>IF($F13="","",INDEX(배정!$B$2:$B$541,$F13)&amp;" ("&amp;INDEX(배정!$C$2:$C$541,$F13)&amp;")")</f>
        <v/>
      </c>
      <c r="C13" s="16">
        <f>IF($F13="","",INDEX(배정!$D$2:$D$541,$F13))</f>
        <v/>
      </c>
      <c r="D13" s="16">
        <f>IF($F13="","",INDEX(배정!$E$2:$E$541,$F13))</f>
        <v/>
      </c>
      <c r="E13" t="inlineStr">
        <is>
          <t>최영배</t>
        </is>
      </c>
      <c r="F13">
        <f>IF(ISNA(MATCH($E13&amp;"|"&amp;10,배정!$G$2:$G$541,0)),"",MATCH($E13&amp;"|"&amp;10,배정!$G$2:$G$541,0))</f>
        <v/>
      </c>
      <c r="G13">
        <f>IF($F13="","",INDEX(배정!$C$2:$C$541,$F13))</f>
        <v/>
      </c>
    </row>
    <row r="14" ht="30" customHeight="1">
      <c r="A14" s="14" t="inlineStr">
        <is>
          <t>조한빈 실장</t>
        </is>
      </c>
      <c r="B14" s="15">
        <f>IF($F14="","",INDEX(배정!$B$2:$B$541,$F14)&amp;" ("&amp;INDEX(배정!$C$2:$C$541,$F14)&amp;")")</f>
        <v/>
      </c>
      <c r="C14" s="16">
        <f>IF($F14="","",INDEX(배정!$D$2:$D$541,$F14))</f>
        <v/>
      </c>
      <c r="D14" s="16">
        <f>IF($F14="","",INDEX(배정!$E$2:$E$541,$F14))</f>
        <v/>
      </c>
      <c r="E14" t="inlineStr">
        <is>
          <t>조한빈</t>
        </is>
      </c>
      <c r="F14">
        <f>IF(ISNA(MATCH($E14&amp;"|"&amp;1,배정!$G$2:$G$541,0)),"",MATCH($E14&amp;"|"&amp;1,배정!$G$2:$G$541,0))</f>
        <v/>
      </c>
      <c r="G14">
        <f>IF($F14="","",INDEX(배정!$C$2:$C$541,$F14))</f>
        <v/>
      </c>
    </row>
    <row r="15" ht="30" customHeight="1">
      <c r="A15" s="17" t="n"/>
      <c r="B15" s="15">
        <f>IF($F15="","",INDEX(배정!$B$2:$B$541,$F15)&amp;" ("&amp;INDEX(배정!$C$2:$C$541,$F15)&amp;")")</f>
        <v/>
      </c>
      <c r="C15" s="16">
        <f>IF($F15="","",INDEX(배정!$D$2:$D$541,$F15))</f>
        <v/>
      </c>
      <c r="D15" s="16">
        <f>IF($F15="","",INDEX(배정!$E$2:$E$541,$F15))</f>
        <v/>
      </c>
      <c r="E15" t="inlineStr">
        <is>
          <t>조한빈</t>
        </is>
      </c>
      <c r="F15">
        <f>IF(ISNA(MATCH($E15&amp;"|"&amp;2,배정!$G$2:$G$541,0)),"",MATCH($E15&amp;"|"&amp;2,배정!$G$2:$G$541,0))</f>
        <v/>
      </c>
      <c r="G15">
        <f>IF($F15="","",INDEX(배정!$C$2:$C$541,$F15))</f>
        <v/>
      </c>
    </row>
    <row r="16" ht="30" customHeight="1">
      <c r="A16" s="17" t="n"/>
      <c r="B16" s="15">
        <f>IF($F16="","",INDEX(배정!$B$2:$B$541,$F16)&amp;" ("&amp;INDEX(배정!$C$2:$C$541,$F16)&amp;")")</f>
        <v/>
      </c>
      <c r="C16" s="16">
        <f>IF($F16="","",INDEX(배정!$D$2:$D$541,$F16))</f>
        <v/>
      </c>
      <c r="D16" s="16">
        <f>IF($F16="","",INDEX(배정!$E$2:$E$541,$F16))</f>
        <v/>
      </c>
      <c r="E16" t="inlineStr">
        <is>
          <t>조한빈</t>
        </is>
      </c>
      <c r="F16">
        <f>IF(ISNA(MATCH($E16&amp;"|"&amp;3,배정!$G$2:$G$541,0)),"",MATCH($E16&amp;"|"&amp;3,배정!$G$2:$G$541,0))</f>
        <v/>
      </c>
      <c r="G16">
        <f>IF($F16="","",INDEX(배정!$C$2:$C$541,$F16))</f>
        <v/>
      </c>
    </row>
    <row r="17" ht="30" customHeight="1">
      <c r="A17" s="17" t="n"/>
      <c r="B17" s="15">
        <f>IF($F17="","",INDEX(배정!$B$2:$B$541,$F17)&amp;" ("&amp;INDEX(배정!$C$2:$C$541,$F17)&amp;")")</f>
        <v/>
      </c>
      <c r="C17" s="16">
        <f>IF($F17="","",INDEX(배정!$D$2:$D$541,$F17))</f>
        <v/>
      </c>
      <c r="D17" s="16">
        <f>IF($F17="","",INDEX(배정!$E$2:$E$541,$F17))</f>
        <v/>
      </c>
      <c r="E17" t="inlineStr">
        <is>
          <t>조한빈</t>
        </is>
      </c>
      <c r="F17">
        <f>IF(ISNA(MATCH($E17&amp;"|"&amp;4,배정!$G$2:$G$541,0)),"",MATCH($E17&amp;"|"&amp;4,배정!$G$2:$G$541,0))</f>
        <v/>
      </c>
      <c r="G17">
        <f>IF($F17="","",INDEX(배정!$C$2:$C$541,$F17))</f>
        <v/>
      </c>
    </row>
    <row r="18" ht="30" customHeight="1">
      <c r="A18" s="17" t="n"/>
      <c r="B18" s="15">
        <f>IF($F18="","",INDEX(배정!$B$2:$B$541,$F18)&amp;" ("&amp;INDEX(배정!$C$2:$C$541,$F18)&amp;")")</f>
        <v/>
      </c>
      <c r="C18" s="16">
        <f>IF($F18="","",INDEX(배정!$D$2:$D$541,$F18))</f>
        <v/>
      </c>
      <c r="D18" s="16">
        <f>IF($F18="","",INDEX(배정!$E$2:$E$541,$F18))</f>
        <v/>
      </c>
      <c r="E18" t="inlineStr">
        <is>
          <t>조한빈</t>
        </is>
      </c>
      <c r="F18">
        <f>IF(ISNA(MATCH($E18&amp;"|"&amp;5,배정!$G$2:$G$541,0)),"",MATCH($E18&amp;"|"&amp;5,배정!$G$2:$G$541,0))</f>
        <v/>
      </c>
      <c r="G18">
        <f>IF($F18="","",INDEX(배정!$C$2:$C$541,$F18))</f>
        <v/>
      </c>
    </row>
    <row r="19" ht="30" customHeight="1">
      <c r="A19" s="17" t="n"/>
      <c r="B19" s="15">
        <f>IF($F19="","",INDEX(배정!$B$2:$B$541,$F19)&amp;" ("&amp;INDEX(배정!$C$2:$C$541,$F19)&amp;")")</f>
        <v/>
      </c>
      <c r="C19" s="16">
        <f>IF($F19="","",INDEX(배정!$D$2:$D$541,$F19))</f>
        <v/>
      </c>
      <c r="D19" s="16">
        <f>IF($F19="","",INDEX(배정!$E$2:$E$541,$F19))</f>
        <v/>
      </c>
      <c r="E19" t="inlineStr">
        <is>
          <t>조한빈</t>
        </is>
      </c>
      <c r="F19">
        <f>IF(ISNA(MATCH($E19&amp;"|"&amp;6,배정!$G$2:$G$541,0)),"",MATCH($E19&amp;"|"&amp;6,배정!$G$2:$G$541,0))</f>
        <v/>
      </c>
      <c r="G19">
        <f>IF($F19="","",INDEX(배정!$C$2:$C$541,$F19))</f>
        <v/>
      </c>
    </row>
    <row r="20" ht="30" customHeight="1">
      <c r="A20" s="17" t="n"/>
      <c r="B20" s="15">
        <f>IF($F20="","",INDEX(배정!$B$2:$B$541,$F20)&amp;" ("&amp;INDEX(배정!$C$2:$C$541,$F20)&amp;")")</f>
        <v/>
      </c>
      <c r="C20" s="16">
        <f>IF($F20="","",INDEX(배정!$D$2:$D$541,$F20))</f>
        <v/>
      </c>
      <c r="D20" s="16">
        <f>IF($F20="","",INDEX(배정!$E$2:$E$541,$F20))</f>
        <v/>
      </c>
      <c r="E20" t="inlineStr">
        <is>
          <t>조한빈</t>
        </is>
      </c>
      <c r="F20">
        <f>IF(ISNA(MATCH($E20&amp;"|"&amp;7,배정!$G$2:$G$541,0)),"",MATCH($E20&amp;"|"&amp;7,배정!$G$2:$G$541,0))</f>
        <v/>
      </c>
      <c r="G20">
        <f>IF($F20="","",INDEX(배정!$C$2:$C$541,$F20))</f>
        <v/>
      </c>
    </row>
    <row r="21" ht="30" customHeight="1">
      <c r="A21" s="17" t="n"/>
      <c r="B21" s="15">
        <f>IF($F21="","",INDEX(배정!$B$2:$B$541,$F21)&amp;" ("&amp;INDEX(배정!$C$2:$C$541,$F21)&amp;")")</f>
        <v/>
      </c>
      <c r="C21" s="16">
        <f>IF($F21="","",INDEX(배정!$D$2:$D$541,$F21))</f>
        <v/>
      </c>
      <c r="D21" s="16">
        <f>IF($F21="","",INDEX(배정!$E$2:$E$541,$F21))</f>
        <v/>
      </c>
      <c r="E21" t="inlineStr">
        <is>
          <t>조한빈</t>
        </is>
      </c>
      <c r="F21">
        <f>IF(ISNA(MATCH($E21&amp;"|"&amp;8,배정!$G$2:$G$541,0)),"",MATCH($E21&amp;"|"&amp;8,배정!$G$2:$G$541,0))</f>
        <v/>
      </c>
      <c r="G21">
        <f>IF($F21="","",INDEX(배정!$C$2:$C$541,$F21))</f>
        <v/>
      </c>
    </row>
    <row r="22" ht="30" customHeight="1">
      <c r="A22" s="17" t="n"/>
      <c r="B22" s="15">
        <f>IF($F22="","",INDEX(배정!$B$2:$B$541,$F22)&amp;" ("&amp;INDEX(배정!$C$2:$C$541,$F22)&amp;")")</f>
        <v/>
      </c>
      <c r="C22" s="16">
        <f>IF($F22="","",INDEX(배정!$D$2:$D$541,$F22))</f>
        <v/>
      </c>
      <c r="D22" s="16">
        <f>IF($F22="","",INDEX(배정!$E$2:$E$541,$F22))</f>
        <v/>
      </c>
      <c r="E22" t="inlineStr">
        <is>
          <t>조한빈</t>
        </is>
      </c>
      <c r="F22">
        <f>IF(ISNA(MATCH($E22&amp;"|"&amp;9,배정!$G$2:$G$541,0)),"",MATCH($E22&amp;"|"&amp;9,배정!$G$2:$G$541,0))</f>
        <v/>
      </c>
      <c r="G22">
        <f>IF($F22="","",INDEX(배정!$C$2:$C$541,$F22))</f>
        <v/>
      </c>
    </row>
    <row r="23" ht="30" customHeight="1">
      <c r="A23" s="18" t="n"/>
      <c r="B23" s="15">
        <f>IF($F23="","",INDEX(배정!$B$2:$B$541,$F23)&amp;" ("&amp;INDEX(배정!$C$2:$C$541,$F23)&amp;")")</f>
        <v/>
      </c>
      <c r="C23" s="16">
        <f>IF($F23="","",INDEX(배정!$D$2:$D$541,$F23))</f>
        <v/>
      </c>
      <c r="D23" s="16">
        <f>IF($F23="","",INDEX(배정!$E$2:$E$541,$F23))</f>
        <v/>
      </c>
      <c r="E23" t="inlineStr">
        <is>
          <t>조한빈</t>
        </is>
      </c>
      <c r="F23">
        <f>IF(ISNA(MATCH($E23&amp;"|"&amp;10,배정!$G$2:$G$541,0)),"",MATCH($E23&amp;"|"&amp;10,배정!$G$2:$G$541,0))</f>
        <v/>
      </c>
      <c r="G23">
        <f>IF($F23="","",INDEX(배정!$C$2:$C$541,$F23))</f>
        <v/>
      </c>
    </row>
    <row r="24" ht="30" customHeight="1">
      <c r="A24" s="14" t="inlineStr">
        <is>
          <t>김재헌 수석</t>
        </is>
      </c>
      <c r="B24" s="15">
        <f>IF($F24="","",INDEX(배정!$B$2:$B$541,$F24)&amp;" ("&amp;INDEX(배정!$C$2:$C$541,$F24)&amp;")")</f>
        <v/>
      </c>
      <c r="C24" s="16">
        <f>IF($F24="","",INDEX(배정!$D$2:$D$541,$F24))</f>
        <v/>
      </c>
      <c r="D24" s="16">
        <f>IF($F24="","",INDEX(배정!$E$2:$E$541,$F24))</f>
        <v/>
      </c>
      <c r="E24" t="inlineStr">
        <is>
          <t>김재헌</t>
        </is>
      </c>
      <c r="F24">
        <f>IF(ISNA(MATCH($E24&amp;"|"&amp;1,배정!$G$2:$G$541,0)),"",MATCH($E24&amp;"|"&amp;1,배정!$G$2:$G$541,0))</f>
        <v/>
      </c>
      <c r="G24">
        <f>IF($F24="","",INDEX(배정!$C$2:$C$541,$F24))</f>
        <v/>
      </c>
    </row>
    <row r="25" ht="30" customHeight="1">
      <c r="A25" s="17" t="n"/>
      <c r="B25" s="15">
        <f>IF($F25="","",INDEX(배정!$B$2:$B$541,$F25)&amp;" ("&amp;INDEX(배정!$C$2:$C$541,$F25)&amp;")")</f>
        <v/>
      </c>
      <c r="C25" s="16">
        <f>IF($F25="","",INDEX(배정!$D$2:$D$541,$F25))</f>
        <v/>
      </c>
      <c r="D25" s="16">
        <f>IF($F25="","",INDEX(배정!$E$2:$E$541,$F25))</f>
        <v/>
      </c>
      <c r="E25" t="inlineStr">
        <is>
          <t>김재헌</t>
        </is>
      </c>
      <c r="F25">
        <f>IF(ISNA(MATCH($E25&amp;"|"&amp;2,배정!$G$2:$G$541,0)),"",MATCH($E25&amp;"|"&amp;2,배정!$G$2:$G$541,0))</f>
        <v/>
      </c>
      <c r="G25">
        <f>IF($F25="","",INDEX(배정!$C$2:$C$541,$F25))</f>
        <v/>
      </c>
    </row>
    <row r="26" ht="30" customHeight="1">
      <c r="A26" s="17" t="n"/>
      <c r="B26" s="15">
        <f>IF($F26="","",INDEX(배정!$B$2:$B$541,$F26)&amp;" ("&amp;INDEX(배정!$C$2:$C$541,$F26)&amp;")")</f>
        <v/>
      </c>
      <c r="C26" s="16">
        <f>IF($F26="","",INDEX(배정!$D$2:$D$541,$F26))</f>
        <v/>
      </c>
      <c r="D26" s="16">
        <f>IF($F26="","",INDEX(배정!$E$2:$E$541,$F26))</f>
        <v/>
      </c>
      <c r="E26" t="inlineStr">
        <is>
          <t>김재헌</t>
        </is>
      </c>
      <c r="F26">
        <f>IF(ISNA(MATCH($E26&amp;"|"&amp;3,배정!$G$2:$G$541,0)),"",MATCH($E26&amp;"|"&amp;3,배정!$G$2:$G$541,0))</f>
        <v/>
      </c>
      <c r="G26">
        <f>IF($F26="","",INDEX(배정!$C$2:$C$541,$F26))</f>
        <v/>
      </c>
    </row>
    <row r="27" ht="30" customHeight="1">
      <c r="A27" s="17" t="n"/>
      <c r="B27" s="15">
        <f>IF($F27="","",INDEX(배정!$B$2:$B$541,$F27)&amp;" ("&amp;INDEX(배정!$C$2:$C$541,$F27)&amp;")")</f>
        <v/>
      </c>
      <c r="C27" s="16">
        <f>IF($F27="","",INDEX(배정!$D$2:$D$541,$F27))</f>
        <v/>
      </c>
      <c r="D27" s="16">
        <f>IF($F27="","",INDEX(배정!$E$2:$E$541,$F27))</f>
        <v/>
      </c>
      <c r="E27" t="inlineStr">
        <is>
          <t>김재헌</t>
        </is>
      </c>
      <c r="F27">
        <f>IF(ISNA(MATCH($E27&amp;"|"&amp;4,배정!$G$2:$G$541,0)),"",MATCH($E27&amp;"|"&amp;4,배정!$G$2:$G$541,0))</f>
        <v/>
      </c>
      <c r="G27">
        <f>IF($F27="","",INDEX(배정!$C$2:$C$541,$F27))</f>
        <v/>
      </c>
    </row>
    <row r="28" ht="30" customHeight="1">
      <c r="A28" s="17" t="n"/>
      <c r="B28" s="15">
        <f>IF($F28="","",INDEX(배정!$B$2:$B$541,$F28)&amp;" ("&amp;INDEX(배정!$C$2:$C$541,$F28)&amp;")")</f>
        <v/>
      </c>
      <c r="C28" s="16">
        <f>IF($F28="","",INDEX(배정!$D$2:$D$541,$F28))</f>
        <v/>
      </c>
      <c r="D28" s="16">
        <f>IF($F28="","",INDEX(배정!$E$2:$E$541,$F28))</f>
        <v/>
      </c>
      <c r="E28" t="inlineStr">
        <is>
          <t>김재헌</t>
        </is>
      </c>
      <c r="F28">
        <f>IF(ISNA(MATCH($E28&amp;"|"&amp;5,배정!$G$2:$G$541,0)),"",MATCH($E28&amp;"|"&amp;5,배정!$G$2:$G$541,0))</f>
        <v/>
      </c>
      <c r="G28">
        <f>IF($F28="","",INDEX(배정!$C$2:$C$541,$F28))</f>
        <v/>
      </c>
    </row>
    <row r="29" ht="30" customHeight="1">
      <c r="A29" s="17" t="n"/>
      <c r="B29" s="15">
        <f>IF($F29="","",INDEX(배정!$B$2:$B$541,$F29)&amp;" ("&amp;INDEX(배정!$C$2:$C$541,$F29)&amp;")")</f>
        <v/>
      </c>
      <c r="C29" s="16">
        <f>IF($F29="","",INDEX(배정!$D$2:$D$541,$F29))</f>
        <v/>
      </c>
      <c r="D29" s="16">
        <f>IF($F29="","",INDEX(배정!$E$2:$E$541,$F29))</f>
        <v/>
      </c>
      <c r="E29" t="inlineStr">
        <is>
          <t>김재헌</t>
        </is>
      </c>
      <c r="F29">
        <f>IF(ISNA(MATCH($E29&amp;"|"&amp;6,배정!$G$2:$G$541,0)),"",MATCH($E29&amp;"|"&amp;6,배정!$G$2:$G$541,0))</f>
        <v/>
      </c>
      <c r="G29">
        <f>IF($F29="","",INDEX(배정!$C$2:$C$541,$F29))</f>
        <v/>
      </c>
    </row>
    <row r="30" ht="30" customHeight="1">
      <c r="A30" s="17" t="n"/>
      <c r="B30" s="15">
        <f>IF($F30="","",INDEX(배정!$B$2:$B$541,$F30)&amp;" ("&amp;INDEX(배정!$C$2:$C$541,$F30)&amp;")")</f>
        <v/>
      </c>
      <c r="C30" s="16">
        <f>IF($F30="","",INDEX(배정!$D$2:$D$541,$F30))</f>
        <v/>
      </c>
      <c r="D30" s="16">
        <f>IF($F30="","",INDEX(배정!$E$2:$E$541,$F30))</f>
        <v/>
      </c>
      <c r="E30" t="inlineStr">
        <is>
          <t>김재헌</t>
        </is>
      </c>
      <c r="F30">
        <f>IF(ISNA(MATCH($E30&amp;"|"&amp;7,배정!$G$2:$G$541,0)),"",MATCH($E30&amp;"|"&amp;7,배정!$G$2:$G$541,0))</f>
        <v/>
      </c>
      <c r="G30">
        <f>IF($F30="","",INDEX(배정!$C$2:$C$541,$F30))</f>
        <v/>
      </c>
    </row>
    <row r="31" ht="30" customHeight="1">
      <c r="A31" s="17" t="n"/>
      <c r="B31" s="15">
        <f>IF($F31="","",INDEX(배정!$B$2:$B$541,$F31)&amp;" ("&amp;INDEX(배정!$C$2:$C$541,$F31)&amp;")")</f>
        <v/>
      </c>
      <c r="C31" s="16">
        <f>IF($F31="","",INDEX(배정!$D$2:$D$541,$F31))</f>
        <v/>
      </c>
      <c r="D31" s="16">
        <f>IF($F31="","",INDEX(배정!$E$2:$E$541,$F31))</f>
        <v/>
      </c>
      <c r="E31" t="inlineStr">
        <is>
          <t>김재헌</t>
        </is>
      </c>
      <c r="F31">
        <f>IF(ISNA(MATCH($E31&amp;"|"&amp;8,배정!$G$2:$G$541,0)),"",MATCH($E31&amp;"|"&amp;8,배정!$G$2:$G$541,0))</f>
        <v/>
      </c>
      <c r="G31">
        <f>IF($F31="","",INDEX(배정!$C$2:$C$541,$F31))</f>
        <v/>
      </c>
    </row>
    <row r="32" ht="30" customHeight="1">
      <c r="A32" s="17" t="n"/>
      <c r="B32" s="15">
        <f>IF($F32="","",INDEX(배정!$B$2:$B$541,$F32)&amp;" ("&amp;INDEX(배정!$C$2:$C$541,$F32)&amp;")")</f>
        <v/>
      </c>
      <c r="C32" s="16">
        <f>IF($F32="","",INDEX(배정!$D$2:$D$541,$F32))</f>
        <v/>
      </c>
      <c r="D32" s="16">
        <f>IF($F32="","",INDEX(배정!$E$2:$E$541,$F32))</f>
        <v/>
      </c>
      <c r="E32" t="inlineStr">
        <is>
          <t>김재헌</t>
        </is>
      </c>
      <c r="F32">
        <f>IF(ISNA(MATCH($E32&amp;"|"&amp;9,배정!$G$2:$G$541,0)),"",MATCH($E32&amp;"|"&amp;9,배정!$G$2:$G$541,0))</f>
        <v/>
      </c>
      <c r="G32">
        <f>IF($F32="","",INDEX(배정!$C$2:$C$541,$F32))</f>
        <v/>
      </c>
    </row>
    <row r="33" ht="30" customHeight="1">
      <c r="A33" s="18" t="n"/>
      <c r="B33" s="15">
        <f>IF($F33="","",INDEX(배정!$B$2:$B$541,$F33)&amp;" ("&amp;INDEX(배정!$C$2:$C$541,$F33)&amp;")")</f>
        <v/>
      </c>
      <c r="C33" s="16">
        <f>IF($F33="","",INDEX(배정!$D$2:$D$541,$F33))</f>
        <v/>
      </c>
      <c r="D33" s="16">
        <f>IF($F33="","",INDEX(배정!$E$2:$E$541,$F33))</f>
        <v/>
      </c>
      <c r="E33" t="inlineStr">
        <is>
          <t>김재헌</t>
        </is>
      </c>
      <c r="F33">
        <f>IF(ISNA(MATCH($E33&amp;"|"&amp;10,배정!$G$2:$G$541,0)),"",MATCH($E33&amp;"|"&amp;10,배정!$G$2:$G$541,0))</f>
        <v/>
      </c>
      <c r="G33">
        <f>IF($F33="","",INDEX(배정!$C$2:$C$541,$F33))</f>
        <v/>
      </c>
    </row>
    <row r="34" ht="30" customHeight="1">
      <c r="A34" s="14" t="inlineStr">
        <is>
          <t>양한규 수석</t>
        </is>
      </c>
      <c r="B34" s="15">
        <f>IF($F34="","",INDEX(배정!$B$2:$B$541,$F34)&amp;" ("&amp;INDEX(배정!$C$2:$C$541,$F34)&amp;")")</f>
        <v/>
      </c>
      <c r="C34" s="16">
        <f>IF($F34="","",INDEX(배정!$D$2:$D$541,$F34))</f>
        <v/>
      </c>
      <c r="D34" s="16">
        <f>IF($F34="","",INDEX(배정!$E$2:$E$541,$F34))</f>
        <v/>
      </c>
      <c r="E34" t="inlineStr">
        <is>
          <t>양한규</t>
        </is>
      </c>
      <c r="F34">
        <f>IF(ISNA(MATCH($E34&amp;"|"&amp;1,배정!$G$2:$G$541,0)),"",MATCH($E34&amp;"|"&amp;1,배정!$G$2:$G$541,0))</f>
        <v/>
      </c>
      <c r="G34">
        <f>IF($F34="","",INDEX(배정!$C$2:$C$541,$F34))</f>
        <v/>
      </c>
    </row>
    <row r="35" ht="30" customHeight="1">
      <c r="A35" s="17" t="n"/>
      <c r="B35" s="15">
        <f>IF($F35="","",INDEX(배정!$B$2:$B$541,$F35)&amp;" ("&amp;INDEX(배정!$C$2:$C$541,$F35)&amp;")")</f>
        <v/>
      </c>
      <c r="C35" s="16">
        <f>IF($F35="","",INDEX(배정!$D$2:$D$541,$F35))</f>
        <v/>
      </c>
      <c r="D35" s="16">
        <f>IF($F35="","",INDEX(배정!$E$2:$E$541,$F35))</f>
        <v/>
      </c>
      <c r="E35" t="inlineStr">
        <is>
          <t>양한규</t>
        </is>
      </c>
      <c r="F35">
        <f>IF(ISNA(MATCH($E35&amp;"|"&amp;2,배정!$G$2:$G$541,0)),"",MATCH($E35&amp;"|"&amp;2,배정!$G$2:$G$541,0))</f>
        <v/>
      </c>
      <c r="G35">
        <f>IF($F35="","",INDEX(배정!$C$2:$C$541,$F35))</f>
        <v/>
      </c>
    </row>
    <row r="36" ht="30" customHeight="1">
      <c r="A36" s="17" t="n"/>
      <c r="B36" s="15">
        <f>IF($F36="","",INDEX(배정!$B$2:$B$541,$F36)&amp;" ("&amp;INDEX(배정!$C$2:$C$541,$F36)&amp;")")</f>
        <v/>
      </c>
      <c r="C36" s="16">
        <f>IF($F36="","",INDEX(배정!$D$2:$D$541,$F36))</f>
        <v/>
      </c>
      <c r="D36" s="16">
        <f>IF($F36="","",INDEX(배정!$E$2:$E$541,$F36))</f>
        <v/>
      </c>
      <c r="E36" t="inlineStr">
        <is>
          <t>양한규</t>
        </is>
      </c>
      <c r="F36">
        <f>IF(ISNA(MATCH($E36&amp;"|"&amp;3,배정!$G$2:$G$541,0)),"",MATCH($E36&amp;"|"&amp;3,배정!$G$2:$G$541,0))</f>
        <v/>
      </c>
      <c r="G36">
        <f>IF($F36="","",INDEX(배정!$C$2:$C$541,$F36))</f>
        <v/>
      </c>
    </row>
    <row r="37" ht="30" customHeight="1">
      <c r="A37" s="17" t="n"/>
      <c r="B37" s="15">
        <f>IF($F37="","",INDEX(배정!$B$2:$B$541,$F37)&amp;" ("&amp;INDEX(배정!$C$2:$C$541,$F37)&amp;")")</f>
        <v/>
      </c>
      <c r="C37" s="16">
        <f>IF($F37="","",INDEX(배정!$D$2:$D$541,$F37))</f>
        <v/>
      </c>
      <c r="D37" s="16">
        <f>IF($F37="","",INDEX(배정!$E$2:$E$541,$F37))</f>
        <v/>
      </c>
      <c r="E37" t="inlineStr">
        <is>
          <t>양한규</t>
        </is>
      </c>
      <c r="F37">
        <f>IF(ISNA(MATCH($E37&amp;"|"&amp;4,배정!$G$2:$G$541,0)),"",MATCH($E37&amp;"|"&amp;4,배정!$G$2:$G$541,0))</f>
        <v/>
      </c>
      <c r="G37">
        <f>IF($F37="","",INDEX(배정!$C$2:$C$541,$F37))</f>
        <v/>
      </c>
    </row>
    <row r="38" ht="30" customHeight="1">
      <c r="A38" s="17" t="n"/>
      <c r="B38" s="15">
        <f>IF($F38="","",INDEX(배정!$B$2:$B$541,$F38)&amp;" ("&amp;INDEX(배정!$C$2:$C$541,$F38)&amp;")")</f>
        <v/>
      </c>
      <c r="C38" s="16">
        <f>IF($F38="","",INDEX(배정!$D$2:$D$541,$F38))</f>
        <v/>
      </c>
      <c r="D38" s="16">
        <f>IF($F38="","",INDEX(배정!$E$2:$E$541,$F38))</f>
        <v/>
      </c>
      <c r="E38" t="inlineStr">
        <is>
          <t>양한규</t>
        </is>
      </c>
      <c r="F38">
        <f>IF(ISNA(MATCH($E38&amp;"|"&amp;5,배정!$G$2:$G$541,0)),"",MATCH($E38&amp;"|"&amp;5,배정!$G$2:$G$541,0))</f>
        <v/>
      </c>
      <c r="G38">
        <f>IF($F38="","",INDEX(배정!$C$2:$C$541,$F38))</f>
        <v/>
      </c>
    </row>
    <row r="39" ht="30" customHeight="1">
      <c r="A39" s="17" t="n"/>
      <c r="B39" s="15">
        <f>IF($F39="","",INDEX(배정!$B$2:$B$541,$F39)&amp;" ("&amp;INDEX(배정!$C$2:$C$541,$F39)&amp;")")</f>
        <v/>
      </c>
      <c r="C39" s="16">
        <f>IF($F39="","",INDEX(배정!$D$2:$D$541,$F39))</f>
        <v/>
      </c>
      <c r="D39" s="16">
        <f>IF($F39="","",INDEX(배정!$E$2:$E$541,$F39))</f>
        <v/>
      </c>
      <c r="E39" t="inlineStr">
        <is>
          <t>양한규</t>
        </is>
      </c>
      <c r="F39">
        <f>IF(ISNA(MATCH($E39&amp;"|"&amp;6,배정!$G$2:$G$541,0)),"",MATCH($E39&amp;"|"&amp;6,배정!$G$2:$G$541,0))</f>
        <v/>
      </c>
      <c r="G39">
        <f>IF($F39="","",INDEX(배정!$C$2:$C$541,$F39))</f>
        <v/>
      </c>
    </row>
    <row r="40" ht="30" customHeight="1">
      <c r="A40" s="17" t="n"/>
      <c r="B40" s="15">
        <f>IF($F40="","",INDEX(배정!$B$2:$B$541,$F40)&amp;" ("&amp;INDEX(배정!$C$2:$C$541,$F40)&amp;")")</f>
        <v/>
      </c>
      <c r="C40" s="16">
        <f>IF($F40="","",INDEX(배정!$D$2:$D$541,$F40))</f>
        <v/>
      </c>
      <c r="D40" s="16">
        <f>IF($F40="","",INDEX(배정!$E$2:$E$541,$F40))</f>
        <v/>
      </c>
      <c r="E40" t="inlineStr">
        <is>
          <t>양한규</t>
        </is>
      </c>
      <c r="F40">
        <f>IF(ISNA(MATCH($E40&amp;"|"&amp;7,배정!$G$2:$G$541,0)),"",MATCH($E40&amp;"|"&amp;7,배정!$G$2:$G$541,0))</f>
        <v/>
      </c>
      <c r="G40">
        <f>IF($F40="","",INDEX(배정!$C$2:$C$541,$F40))</f>
        <v/>
      </c>
    </row>
    <row r="41" ht="30" customHeight="1">
      <c r="A41" s="17" t="n"/>
      <c r="B41" s="15">
        <f>IF($F41="","",INDEX(배정!$B$2:$B$541,$F41)&amp;" ("&amp;INDEX(배정!$C$2:$C$541,$F41)&amp;")")</f>
        <v/>
      </c>
      <c r="C41" s="16">
        <f>IF($F41="","",INDEX(배정!$D$2:$D$541,$F41))</f>
        <v/>
      </c>
      <c r="D41" s="16">
        <f>IF($F41="","",INDEX(배정!$E$2:$E$541,$F41))</f>
        <v/>
      </c>
      <c r="E41" t="inlineStr">
        <is>
          <t>양한규</t>
        </is>
      </c>
      <c r="F41">
        <f>IF(ISNA(MATCH($E41&amp;"|"&amp;8,배정!$G$2:$G$541,0)),"",MATCH($E41&amp;"|"&amp;8,배정!$G$2:$G$541,0))</f>
        <v/>
      </c>
      <c r="G41">
        <f>IF($F41="","",INDEX(배정!$C$2:$C$541,$F41))</f>
        <v/>
      </c>
    </row>
    <row r="42" ht="30" customHeight="1">
      <c r="A42" s="17" t="n"/>
      <c r="B42" s="15">
        <f>IF($F42="","",INDEX(배정!$B$2:$B$541,$F42)&amp;" ("&amp;INDEX(배정!$C$2:$C$541,$F42)&amp;")")</f>
        <v/>
      </c>
      <c r="C42" s="16">
        <f>IF($F42="","",INDEX(배정!$D$2:$D$541,$F42))</f>
        <v/>
      </c>
      <c r="D42" s="16">
        <f>IF($F42="","",INDEX(배정!$E$2:$E$541,$F42))</f>
        <v/>
      </c>
      <c r="E42" t="inlineStr">
        <is>
          <t>양한규</t>
        </is>
      </c>
      <c r="F42">
        <f>IF(ISNA(MATCH($E42&amp;"|"&amp;9,배정!$G$2:$G$541,0)),"",MATCH($E42&amp;"|"&amp;9,배정!$G$2:$G$541,0))</f>
        <v/>
      </c>
      <c r="G42">
        <f>IF($F42="","",INDEX(배정!$C$2:$C$541,$F42))</f>
        <v/>
      </c>
    </row>
    <row r="43" ht="30" customHeight="1">
      <c r="A43" s="18" t="n"/>
      <c r="B43" s="15">
        <f>IF($F43="","",INDEX(배정!$B$2:$B$541,$F43)&amp;" ("&amp;INDEX(배정!$C$2:$C$541,$F43)&amp;")")</f>
        <v/>
      </c>
      <c r="C43" s="16">
        <f>IF($F43="","",INDEX(배정!$D$2:$D$541,$F43))</f>
        <v/>
      </c>
      <c r="D43" s="16">
        <f>IF($F43="","",INDEX(배정!$E$2:$E$541,$F43))</f>
        <v/>
      </c>
      <c r="E43" t="inlineStr">
        <is>
          <t>양한규</t>
        </is>
      </c>
      <c r="F43">
        <f>IF(ISNA(MATCH($E43&amp;"|"&amp;10,배정!$G$2:$G$541,0)),"",MATCH($E43&amp;"|"&amp;10,배정!$G$2:$G$541,0))</f>
        <v/>
      </c>
      <c r="G43">
        <f>IF($F43="","",INDEX(배정!$C$2:$C$541,$F43))</f>
        <v/>
      </c>
    </row>
    <row r="44" ht="30" customHeight="1">
      <c r="A44" s="14" t="inlineStr">
        <is>
          <t>성대용 수석</t>
        </is>
      </c>
      <c r="B44" s="15">
        <f>IF($F44="","",INDEX(배정!$B$2:$B$541,$F44)&amp;" ("&amp;INDEX(배정!$C$2:$C$541,$F44)&amp;")")</f>
        <v/>
      </c>
      <c r="C44" s="16">
        <f>IF($F44="","",INDEX(배정!$D$2:$D$541,$F44))</f>
        <v/>
      </c>
      <c r="D44" s="16">
        <f>IF($F44="","",INDEX(배정!$E$2:$E$541,$F44))</f>
        <v/>
      </c>
      <c r="E44" t="inlineStr">
        <is>
          <t>성대용</t>
        </is>
      </c>
      <c r="F44">
        <f>IF(ISNA(MATCH($E44&amp;"|"&amp;1,배정!$G$2:$G$541,0)),"",MATCH($E44&amp;"|"&amp;1,배정!$G$2:$G$541,0))</f>
        <v/>
      </c>
      <c r="G44">
        <f>IF($F44="","",INDEX(배정!$C$2:$C$541,$F44))</f>
        <v/>
      </c>
    </row>
    <row r="45" ht="30" customHeight="1">
      <c r="A45" s="17" t="n"/>
      <c r="B45" s="15">
        <f>IF($F45="","",INDEX(배정!$B$2:$B$541,$F45)&amp;" ("&amp;INDEX(배정!$C$2:$C$541,$F45)&amp;")")</f>
        <v/>
      </c>
      <c r="C45" s="16">
        <f>IF($F45="","",INDEX(배정!$D$2:$D$541,$F45))</f>
        <v/>
      </c>
      <c r="D45" s="16">
        <f>IF($F45="","",INDEX(배정!$E$2:$E$541,$F45))</f>
        <v/>
      </c>
      <c r="E45" t="inlineStr">
        <is>
          <t>성대용</t>
        </is>
      </c>
      <c r="F45">
        <f>IF(ISNA(MATCH($E45&amp;"|"&amp;2,배정!$G$2:$G$541,0)),"",MATCH($E45&amp;"|"&amp;2,배정!$G$2:$G$541,0))</f>
        <v/>
      </c>
      <c r="G45">
        <f>IF($F45="","",INDEX(배정!$C$2:$C$541,$F45))</f>
        <v/>
      </c>
    </row>
    <row r="46" ht="30" customHeight="1">
      <c r="A46" s="17" t="n"/>
      <c r="B46" s="15">
        <f>IF($F46="","",INDEX(배정!$B$2:$B$541,$F46)&amp;" ("&amp;INDEX(배정!$C$2:$C$541,$F46)&amp;")")</f>
        <v/>
      </c>
      <c r="C46" s="16">
        <f>IF($F46="","",INDEX(배정!$D$2:$D$541,$F46))</f>
        <v/>
      </c>
      <c r="D46" s="16">
        <f>IF($F46="","",INDEX(배정!$E$2:$E$541,$F46))</f>
        <v/>
      </c>
      <c r="E46" t="inlineStr">
        <is>
          <t>성대용</t>
        </is>
      </c>
      <c r="F46">
        <f>IF(ISNA(MATCH($E46&amp;"|"&amp;3,배정!$G$2:$G$541,0)),"",MATCH($E46&amp;"|"&amp;3,배정!$G$2:$G$541,0))</f>
        <v/>
      </c>
      <c r="G46">
        <f>IF($F46="","",INDEX(배정!$C$2:$C$541,$F46))</f>
        <v/>
      </c>
    </row>
    <row r="47" ht="30" customHeight="1">
      <c r="A47" s="17" t="n"/>
      <c r="B47" s="15">
        <f>IF($F47="","",INDEX(배정!$B$2:$B$541,$F47)&amp;" ("&amp;INDEX(배정!$C$2:$C$541,$F47)&amp;")")</f>
        <v/>
      </c>
      <c r="C47" s="16">
        <f>IF($F47="","",INDEX(배정!$D$2:$D$541,$F47))</f>
        <v/>
      </c>
      <c r="D47" s="16">
        <f>IF($F47="","",INDEX(배정!$E$2:$E$541,$F47))</f>
        <v/>
      </c>
      <c r="E47" t="inlineStr">
        <is>
          <t>성대용</t>
        </is>
      </c>
      <c r="F47">
        <f>IF(ISNA(MATCH($E47&amp;"|"&amp;4,배정!$G$2:$G$541,0)),"",MATCH($E47&amp;"|"&amp;4,배정!$G$2:$G$541,0))</f>
        <v/>
      </c>
      <c r="G47">
        <f>IF($F47="","",INDEX(배정!$C$2:$C$541,$F47))</f>
        <v/>
      </c>
    </row>
    <row r="48" ht="30" customHeight="1">
      <c r="A48" s="17" t="n"/>
      <c r="B48" s="15">
        <f>IF($F48="","",INDEX(배정!$B$2:$B$541,$F48)&amp;" ("&amp;INDEX(배정!$C$2:$C$541,$F48)&amp;")")</f>
        <v/>
      </c>
      <c r="C48" s="16">
        <f>IF($F48="","",INDEX(배정!$D$2:$D$541,$F48))</f>
        <v/>
      </c>
      <c r="D48" s="16">
        <f>IF($F48="","",INDEX(배정!$E$2:$E$541,$F48))</f>
        <v/>
      </c>
      <c r="E48" t="inlineStr">
        <is>
          <t>성대용</t>
        </is>
      </c>
      <c r="F48">
        <f>IF(ISNA(MATCH($E48&amp;"|"&amp;5,배정!$G$2:$G$541,0)),"",MATCH($E48&amp;"|"&amp;5,배정!$G$2:$G$541,0))</f>
        <v/>
      </c>
      <c r="G48">
        <f>IF($F48="","",INDEX(배정!$C$2:$C$541,$F48))</f>
        <v/>
      </c>
    </row>
    <row r="49" ht="30" customHeight="1">
      <c r="A49" s="17" t="n"/>
      <c r="B49" s="15">
        <f>IF($F49="","",INDEX(배정!$B$2:$B$541,$F49)&amp;" ("&amp;INDEX(배정!$C$2:$C$541,$F49)&amp;")")</f>
        <v/>
      </c>
      <c r="C49" s="16">
        <f>IF($F49="","",INDEX(배정!$D$2:$D$541,$F49))</f>
        <v/>
      </c>
      <c r="D49" s="16">
        <f>IF($F49="","",INDEX(배정!$E$2:$E$541,$F49))</f>
        <v/>
      </c>
      <c r="E49" t="inlineStr">
        <is>
          <t>성대용</t>
        </is>
      </c>
      <c r="F49">
        <f>IF(ISNA(MATCH($E49&amp;"|"&amp;6,배정!$G$2:$G$541,0)),"",MATCH($E49&amp;"|"&amp;6,배정!$G$2:$G$541,0))</f>
        <v/>
      </c>
      <c r="G49">
        <f>IF($F49="","",INDEX(배정!$C$2:$C$541,$F49))</f>
        <v/>
      </c>
    </row>
    <row r="50" ht="30" customHeight="1">
      <c r="A50" s="17" t="n"/>
      <c r="B50" s="15">
        <f>IF($F50="","",INDEX(배정!$B$2:$B$541,$F50)&amp;" ("&amp;INDEX(배정!$C$2:$C$541,$F50)&amp;")")</f>
        <v/>
      </c>
      <c r="C50" s="16">
        <f>IF($F50="","",INDEX(배정!$D$2:$D$541,$F50))</f>
        <v/>
      </c>
      <c r="D50" s="16">
        <f>IF($F50="","",INDEX(배정!$E$2:$E$541,$F50))</f>
        <v/>
      </c>
      <c r="E50" t="inlineStr">
        <is>
          <t>성대용</t>
        </is>
      </c>
      <c r="F50">
        <f>IF(ISNA(MATCH($E50&amp;"|"&amp;7,배정!$G$2:$G$541,0)),"",MATCH($E50&amp;"|"&amp;7,배정!$G$2:$G$541,0))</f>
        <v/>
      </c>
      <c r="G50">
        <f>IF($F50="","",INDEX(배정!$C$2:$C$541,$F50))</f>
        <v/>
      </c>
    </row>
    <row r="51" ht="30" customHeight="1">
      <c r="A51" s="17" t="n"/>
      <c r="B51" s="15">
        <f>IF($F51="","",INDEX(배정!$B$2:$B$541,$F51)&amp;" ("&amp;INDEX(배정!$C$2:$C$541,$F51)&amp;")")</f>
        <v/>
      </c>
      <c r="C51" s="16">
        <f>IF($F51="","",INDEX(배정!$D$2:$D$541,$F51))</f>
        <v/>
      </c>
      <c r="D51" s="16">
        <f>IF($F51="","",INDEX(배정!$E$2:$E$541,$F51))</f>
        <v/>
      </c>
      <c r="E51" t="inlineStr">
        <is>
          <t>성대용</t>
        </is>
      </c>
      <c r="F51">
        <f>IF(ISNA(MATCH($E51&amp;"|"&amp;8,배정!$G$2:$G$541,0)),"",MATCH($E51&amp;"|"&amp;8,배정!$G$2:$G$541,0))</f>
        <v/>
      </c>
      <c r="G51">
        <f>IF($F51="","",INDEX(배정!$C$2:$C$541,$F51))</f>
        <v/>
      </c>
    </row>
    <row r="52" ht="30" customHeight="1">
      <c r="A52" s="17" t="n"/>
      <c r="B52" s="15">
        <f>IF($F52="","",INDEX(배정!$B$2:$B$541,$F52)&amp;" ("&amp;INDEX(배정!$C$2:$C$541,$F52)&amp;")")</f>
        <v/>
      </c>
      <c r="C52" s="16">
        <f>IF($F52="","",INDEX(배정!$D$2:$D$541,$F52))</f>
        <v/>
      </c>
      <c r="D52" s="16">
        <f>IF($F52="","",INDEX(배정!$E$2:$E$541,$F52))</f>
        <v/>
      </c>
      <c r="E52" t="inlineStr">
        <is>
          <t>성대용</t>
        </is>
      </c>
      <c r="F52">
        <f>IF(ISNA(MATCH($E52&amp;"|"&amp;9,배정!$G$2:$G$541,0)),"",MATCH($E52&amp;"|"&amp;9,배정!$G$2:$G$541,0))</f>
        <v/>
      </c>
      <c r="G52">
        <f>IF($F52="","",INDEX(배정!$C$2:$C$541,$F52))</f>
        <v/>
      </c>
    </row>
    <row r="53" ht="30" customHeight="1">
      <c r="A53" s="18" t="n"/>
      <c r="B53" s="15">
        <f>IF($F53="","",INDEX(배정!$B$2:$B$541,$F53)&amp;" ("&amp;INDEX(배정!$C$2:$C$541,$F53)&amp;")")</f>
        <v/>
      </c>
      <c r="C53" s="16">
        <f>IF($F53="","",INDEX(배정!$D$2:$D$541,$F53))</f>
        <v/>
      </c>
      <c r="D53" s="16">
        <f>IF($F53="","",INDEX(배정!$E$2:$E$541,$F53))</f>
        <v/>
      </c>
      <c r="E53" t="inlineStr">
        <is>
          <t>성대용</t>
        </is>
      </c>
      <c r="F53">
        <f>IF(ISNA(MATCH($E53&amp;"|"&amp;10,배정!$G$2:$G$541,0)),"",MATCH($E53&amp;"|"&amp;10,배정!$G$2:$G$541,0))</f>
        <v/>
      </c>
      <c r="G53">
        <f>IF($F53="","",INDEX(배정!$C$2:$C$541,$F53))</f>
        <v/>
      </c>
    </row>
    <row r="54" ht="30" customHeight="1">
      <c r="A54" s="14" t="inlineStr">
        <is>
          <t>원종수 수석</t>
        </is>
      </c>
      <c r="B54" s="15">
        <f>IF($F54="","",INDEX(배정!$B$2:$B$541,$F54)&amp;" ("&amp;INDEX(배정!$C$2:$C$541,$F54)&amp;")")</f>
        <v/>
      </c>
      <c r="C54" s="16">
        <f>IF($F54="","",INDEX(배정!$D$2:$D$541,$F54))</f>
        <v/>
      </c>
      <c r="D54" s="16">
        <f>IF($F54="","",INDEX(배정!$E$2:$E$541,$F54))</f>
        <v/>
      </c>
      <c r="E54" t="inlineStr">
        <is>
          <t>원종수</t>
        </is>
      </c>
      <c r="F54">
        <f>IF(ISNA(MATCH($E54&amp;"|"&amp;1,배정!$G$2:$G$541,0)),"",MATCH($E54&amp;"|"&amp;1,배정!$G$2:$G$541,0))</f>
        <v/>
      </c>
      <c r="G54">
        <f>IF($F54="","",INDEX(배정!$C$2:$C$541,$F54))</f>
        <v/>
      </c>
    </row>
    <row r="55" ht="30" customHeight="1">
      <c r="A55" s="17" t="n"/>
      <c r="B55" s="15">
        <f>IF($F55="","",INDEX(배정!$B$2:$B$541,$F55)&amp;" ("&amp;INDEX(배정!$C$2:$C$541,$F55)&amp;")")</f>
        <v/>
      </c>
      <c r="C55" s="16">
        <f>IF($F55="","",INDEX(배정!$D$2:$D$541,$F55))</f>
        <v/>
      </c>
      <c r="D55" s="16">
        <f>IF($F55="","",INDEX(배정!$E$2:$E$541,$F55))</f>
        <v/>
      </c>
      <c r="E55" t="inlineStr">
        <is>
          <t>원종수</t>
        </is>
      </c>
      <c r="F55">
        <f>IF(ISNA(MATCH($E55&amp;"|"&amp;2,배정!$G$2:$G$541,0)),"",MATCH($E55&amp;"|"&amp;2,배정!$G$2:$G$541,0))</f>
        <v/>
      </c>
      <c r="G55">
        <f>IF($F55="","",INDEX(배정!$C$2:$C$541,$F55))</f>
        <v/>
      </c>
    </row>
    <row r="56" ht="30" customHeight="1">
      <c r="A56" s="17" t="n"/>
      <c r="B56" s="15">
        <f>IF($F56="","",INDEX(배정!$B$2:$B$541,$F56)&amp;" ("&amp;INDEX(배정!$C$2:$C$541,$F56)&amp;")")</f>
        <v/>
      </c>
      <c r="C56" s="16">
        <f>IF($F56="","",INDEX(배정!$D$2:$D$541,$F56))</f>
        <v/>
      </c>
      <c r="D56" s="16">
        <f>IF($F56="","",INDEX(배정!$E$2:$E$541,$F56))</f>
        <v/>
      </c>
      <c r="E56" t="inlineStr">
        <is>
          <t>원종수</t>
        </is>
      </c>
      <c r="F56">
        <f>IF(ISNA(MATCH($E56&amp;"|"&amp;3,배정!$G$2:$G$541,0)),"",MATCH($E56&amp;"|"&amp;3,배정!$G$2:$G$541,0))</f>
        <v/>
      </c>
      <c r="G56">
        <f>IF($F56="","",INDEX(배정!$C$2:$C$541,$F56))</f>
        <v/>
      </c>
    </row>
    <row r="57" ht="30" customHeight="1">
      <c r="A57" s="17" t="n"/>
      <c r="B57" s="15">
        <f>IF($F57="","",INDEX(배정!$B$2:$B$541,$F57)&amp;" ("&amp;INDEX(배정!$C$2:$C$541,$F57)&amp;")")</f>
        <v/>
      </c>
      <c r="C57" s="16">
        <f>IF($F57="","",INDEX(배정!$D$2:$D$541,$F57))</f>
        <v/>
      </c>
      <c r="D57" s="16">
        <f>IF($F57="","",INDEX(배정!$E$2:$E$541,$F57))</f>
        <v/>
      </c>
      <c r="E57" t="inlineStr">
        <is>
          <t>원종수</t>
        </is>
      </c>
      <c r="F57">
        <f>IF(ISNA(MATCH($E57&amp;"|"&amp;4,배정!$G$2:$G$541,0)),"",MATCH($E57&amp;"|"&amp;4,배정!$G$2:$G$541,0))</f>
        <v/>
      </c>
      <c r="G57">
        <f>IF($F57="","",INDEX(배정!$C$2:$C$541,$F57))</f>
        <v/>
      </c>
    </row>
    <row r="58" ht="30" customHeight="1">
      <c r="A58" s="17" t="n"/>
      <c r="B58" s="15">
        <f>IF($F58="","",INDEX(배정!$B$2:$B$541,$F58)&amp;" ("&amp;INDEX(배정!$C$2:$C$541,$F58)&amp;")")</f>
        <v/>
      </c>
      <c r="C58" s="16">
        <f>IF($F58="","",INDEX(배정!$D$2:$D$541,$F58))</f>
        <v/>
      </c>
      <c r="D58" s="16">
        <f>IF($F58="","",INDEX(배정!$E$2:$E$541,$F58))</f>
        <v/>
      </c>
      <c r="E58" t="inlineStr">
        <is>
          <t>원종수</t>
        </is>
      </c>
      <c r="F58">
        <f>IF(ISNA(MATCH($E58&amp;"|"&amp;5,배정!$G$2:$G$541,0)),"",MATCH($E58&amp;"|"&amp;5,배정!$G$2:$G$541,0))</f>
        <v/>
      </c>
      <c r="G58">
        <f>IF($F58="","",INDEX(배정!$C$2:$C$541,$F58))</f>
        <v/>
      </c>
    </row>
    <row r="59" ht="30" customHeight="1">
      <c r="A59" s="17" t="n"/>
      <c r="B59" s="15">
        <f>IF($F59="","",INDEX(배정!$B$2:$B$541,$F59)&amp;" ("&amp;INDEX(배정!$C$2:$C$541,$F59)&amp;")")</f>
        <v/>
      </c>
      <c r="C59" s="16">
        <f>IF($F59="","",INDEX(배정!$D$2:$D$541,$F59))</f>
        <v/>
      </c>
      <c r="D59" s="16">
        <f>IF($F59="","",INDEX(배정!$E$2:$E$541,$F59))</f>
        <v/>
      </c>
      <c r="E59" t="inlineStr">
        <is>
          <t>원종수</t>
        </is>
      </c>
      <c r="F59">
        <f>IF(ISNA(MATCH($E59&amp;"|"&amp;6,배정!$G$2:$G$541,0)),"",MATCH($E59&amp;"|"&amp;6,배정!$G$2:$G$541,0))</f>
        <v/>
      </c>
      <c r="G59">
        <f>IF($F59="","",INDEX(배정!$C$2:$C$541,$F59))</f>
        <v/>
      </c>
    </row>
    <row r="60" ht="30" customHeight="1">
      <c r="A60" s="17" t="n"/>
      <c r="B60" s="15">
        <f>IF($F60="","",INDEX(배정!$B$2:$B$541,$F60)&amp;" ("&amp;INDEX(배정!$C$2:$C$541,$F60)&amp;")")</f>
        <v/>
      </c>
      <c r="C60" s="16">
        <f>IF($F60="","",INDEX(배정!$D$2:$D$541,$F60))</f>
        <v/>
      </c>
      <c r="D60" s="16">
        <f>IF($F60="","",INDEX(배정!$E$2:$E$541,$F60))</f>
        <v/>
      </c>
      <c r="E60" t="inlineStr">
        <is>
          <t>원종수</t>
        </is>
      </c>
      <c r="F60">
        <f>IF(ISNA(MATCH($E60&amp;"|"&amp;7,배정!$G$2:$G$541,0)),"",MATCH($E60&amp;"|"&amp;7,배정!$G$2:$G$541,0))</f>
        <v/>
      </c>
      <c r="G60">
        <f>IF($F60="","",INDEX(배정!$C$2:$C$541,$F60))</f>
        <v/>
      </c>
    </row>
    <row r="61" ht="30" customHeight="1">
      <c r="A61" s="17" t="n"/>
      <c r="B61" s="15">
        <f>IF($F61="","",INDEX(배정!$B$2:$B$541,$F61)&amp;" ("&amp;INDEX(배정!$C$2:$C$541,$F61)&amp;")")</f>
        <v/>
      </c>
      <c r="C61" s="16">
        <f>IF($F61="","",INDEX(배정!$D$2:$D$541,$F61))</f>
        <v/>
      </c>
      <c r="D61" s="16">
        <f>IF($F61="","",INDEX(배정!$E$2:$E$541,$F61))</f>
        <v/>
      </c>
      <c r="E61" t="inlineStr">
        <is>
          <t>원종수</t>
        </is>
      </c>
      <c r="F61">
        <f>IF(ISNA(MATCH($E61&amp;"|"&amp;8,배정!$G$2:$G$541,0)),"",MATCH($E61&amp;"|"&amp;8,배정!$G$2:$G$541,0))</f>
        <v/>
      </c>
      <c r="G61">
        <f>IF($F61="","",INDEX(배정!$C$2:$C$541,$F61))</f>
        <v/>
      </c>
    </row>
    <row r="62" ht="30" customHeight="1">
      <c r="A62" s="17" t="n"/>
      <c r="B62" s="15">
        <f>IF($F62="","",INDEX(배정!$B$2:$B$541,$F62)&amp;" ("&amp;INDEX(배정!$C$2:$C$541,$F62)&amp;")")</f>
        <v/>
      </c>
      <c r="C62" s="16">
        <f>IF($F62="","",INDEX(배정!$D$2:$D$541,$F62))</f>
        <v/>
      </c>
      <c r="D62" s="16">
        <f>IF($F62="","",INDEX(배정!$E$2:$E$541,$F62))</f>
        <v/>
      </c>
      <c r="E62" t="inlineStr">
        <is>
          <t>원종수</t>
        </is>
      </c>
      <c r="F62">
        <f>IF(ISNA(MATCH($E62&amp;"|"&amp;9,배정!$G$2:$G$541,0)),"",MATCH($E62&amp;"|"&amp;9,배정!$G$2:$G$541,0))</f>
        <v/>
      </c>
      <c r="G62">
        <f>IF($F62="","",INDEX(배정!$C$2:$C$541,$F62))</f>
        <v/>
      </c>
    </row>
    <row r="63" ht="30" customHeight="1">
      <c r="A63" s="18" t="n"/>
      <c r="B63" s="15">
        <f>IF($F63="","",INDEX(배정!$B$2:$B$541,$F63)&amp;" ("&amp;INDEX(배정!$C$2:$C$541,$F63)&amp;")")</f>
        <v/>
      </c>
      <c r="C63" s="16">
        <f>IF($F63="","",INDEX(배정!$D$2:$D$541,$F63))</f>
        <v/>
      </c>
      <c r="D63" s="16">
        <f>IF($F63="","",INDEX(배정!$E$2:$E$541,$F63))</f>
        <v/>
      </c>
      <c r="E63" t="inlineStr">
        <is>
          <t>원종수</t>
        </is>
      </c>
      <c r="F63">
        <f>IF(ISNA(MATCH($E63&amp;"|"&amp;10,배정!$G$2:$G$541,0)),"",MATCH($E63&amp;"|"&amp;10,배정!$G$2:$G$541,0))</f>
        <v/>
      </c>
      <c r="G63">
        <f>IF($F63="","",INDEX(배정!$C$2:$C$541,$F63))</f>
        <v/>
      </c>
    </row>
    <row r="64" ht="30" customHeight="1">
      <c r="A64" s="14" t="inlineStr">
        <is>
          <t>송영길 수석</t>
        </is>
      </c>
      <c r="B64" s="15">
        <f>IF($F64="","",INDEX(배정!$B$2:$B$541,$F64)&amp;" ("&amp;INDEX(배정!$C$2:$C$541,$F64)&amp;")")</f>
        <v/>
      </c>
      <c r="C64" s="16">
        <f>IF($F64="","",INDEX(배정!$D$2:$D$541,$F64))</f>
        <v/>
      </c>
      <c r="D64" s="16">
        <f>IF($F64="","",INDEX(배정!$E$2:$E$541,$F64))</f>
        <v/>
      </c>
      <c r="E64" t="inlineStr">
        <is>
          <t>송영길</t>
        </is>
      </c>
      <c r="F64">
        <f>IF(ISNA(MATCH($E64&amp;"|"&amp;1,배정!$G$2:$G$541,0)),"",MATCH($E64&amp;"|"&amp;1,배정!$G$2:$G$541,0))</f>
        <v/>
      </c>
      <c r="G64">
        <f>IF($F64="","",INDEX(배정!$C$2:$C$541,$F64))</f>
        <v/>
      </c>
    </row>
    <row r="65" ht="30" customHeight="1">
      <c r="A65" s="17" t="n"/>
      <c r="B65" s="15">
        <f>IF($F65="","",INDEX(배정!$B$2:$B$541,$F65)&amp;" ("&amp;INDEX(배정!$C$2:$C$541,$F65)&amp;")")</f>
        <v/>
      </c>
      <c r="C65" s="16">
        <f>IF($F65="","",INDEX(배정!$D$2:$D$541,$F65))</f>
        <v/>
      </c>
      <c r="D65" s="16">
        <f>IF($F65="","",INDEX(배정!$E$2:$E$541,$F65))</f>
        <v/>
      </c>
      <c r="E65" t="inlineStr">
        <is>
          <t>송영길</t>
        </is>
      </c>
      <c r="F65">
        <f>IF(ISNA(MATCH($E65&amp;"|"&amp;2,배정!$G$2:$G$541,0)),"",MATCH($E65&amp;"|"&amp;2,배정!$G$2:$G$541,0))</f>
        <v/>
      </c>
      <c r="G65">
        <f>IF($F65="","",INDEX(배정!$C$2:$C$541,$F65))</f>
        <v/>
      </c>
    </row>
    <row r="66" ht="30" customHeight="1">
      <c r="A66" s="17" t="n"/>
      <c r="B66" s="15">
        <f>IF($F66="","",INDEX(배정!$B$2:$B$541,$F66)&amp;" ("&amp;INDEX(배정!$C$2:$C$541,$F66)&amp;")")</f>
        <v/>
      </c>
      <c r="C66" s="16">
        <f>IF($F66="","",INDEX(배정!$D$2:$D$541,$F66))</f>
        <v/>
      </c>
      <c r="D66" s="16">
        <f>IF($F66="","",INDEX(배정!$E$2:$E$541,$F66))</f>
        <v/>
      </c>
      <c r="E66" t="inlineStr">
        <is>
          <t>송영길</t>
        </is>
      </c>
      <c r="F66">
        <f>IF(ISNA(MATCH($E66&amp;"|"&amp;3,배정!$G$2:$G$541,0)),"",MATCH($E66&amp;"|"&amp;3,배정!$G$2:$G$541,0))</f>
        <v/>
      </c>
      <c r="G66">
        <f>IF($F66="","",INDEX(배정!$C$2:$C$541,$F66))</f>
        <v/>
      </c>
    </row>
    <row r="67" ht="30" customHeight="1">
      <c r="A67" s="17" t="n"/>
      <c r="B67" s="15">
        <f>IF($F67="","",INDEX(배정!$B$2:$B$541,$F67)&amp;" ("&amp;INDEX(배정!$C$2:$C$541,$F67)&amp;")")</f>
        <v/>
      </c>
      <c r="C67" s="16">
        <f>IF($F67="","",INDEX(배정!$D$2:$D$541,$F67))</f>
        <v/>
      </c>
      <c r="D67" s="16">
        <f>IF($F67="","",INDEX(배정!$E$2:$E$541,$F67))</f>
        <v/>
      </c>
      <c r="E67" t="inlineStr">
        <is>
          <t>송영길</t>
        </is>
      </c>
      <c r="F67">
        <f>IF(ISNA(MATCH($E67&amp;"|"&amp;4,배정!$G$2:$G$541,0)),"",MATCH($E67&amp;"|"&amp;4,배정!$G$2:$G$541,0))</f>
        <v/>
      </c>
      <c r="G67">
        <f>IF($F67="","",INDEX(배정!$C$2:$C$541,$F67))</f>
        <v/>
      </c>
    </row>
    <row r="68" ht="30" customHeight="1">
      <c r="A68" s="17" t="n"/>
      <c r="B68" s="15">
        <f>IF($F68="","",INDEX(배정!$B$2:$B$541,$F68)&amp;" ("&amp;INDEX(배정!$C$2:$C$541,$F68)&amp;")")</f>
        <v/>
      </c>
      <c r="C68" s="16">
        <f>IF($F68="","",INDEX(배정!$D$2:$D$541,$F68))</f>
        <v/>
      </c>
      <c r="D68" s="16">
        <f>IF($F68="","",INDEX(배정!$E$2:$E$541,$F68))</f>
        <v/>
      </c>
      <c r="E68" t="inlineStr">
        <is>
          <t>송영길</t>
        </is>
      </c>
      <c r="F68">
        <f>IF(ISNA(MATCH($E68&amp;"|"&amp;5,배정!$G$2:$G$541,0)),"",MATCH($E68&amp;"|"&amp;5,배정!$G$2:$G$541,0))</f>
        <v/>
      </c>
      <c r="G68">
        <f>IF($F68="","",INDEX(배정!$C$2:$C$541,$F68))</f>
        <v/>
      </c>
    </row>
    <row r="69" ht="30" customHeight="1">
      <c r="A69" s="17" t="n"/>
      <c r="B69" s="15">
        <f>IF($F69="","",INDEX(배정!$B$2:$B$541,$F69)&amp;" ("&amp;INDEX(배정!$C$2:$C$541,$F69)&amp;")")</f>
        <v/>
      </c>
      <c r="C69" s="16">
        <f>IF($F69="","",INDEX(배정!$D$2:$D$541,$F69))</f>
        <v/>
      </c>
      <c r="D69" s="16">
        <f>IF($F69="","",INDEX(배정!$E$2:$E$541,$F69))</f>
        <v/>
      </c>
      <c r="E69" t="inlineStr">
        <is>
          <t>송영길</t>
        </is>
      </c>
      <c r="F69">
        <f>IF(ISNA(MATCH($E69&amp;"|"&amp;6,배정!$G$2:$G$541,0)),"",MATCH($E69&amp;"|"&amp;6,배정!$G$2:$G$541,0))</f>
        <v/>
      </c>
      <c r="G69">
        <f>IF($F69="","",INDEX(배정!$C$2:$C$541,$F69))</f>
        <v/>
      </c>
    </row>
    <row r="70" ht="30" customHeight="1">
      <c r="A70" s="17" t="n"/>
      <c r="B70" s="15">
        <f>IF($F70="","",INDEX(배정!$B$2:$B$541,$F70)&amp;" ("&amp;INDEX(배정!$C$2:$C$541,$F70)&amp;")")</f>
        <v/>
      </c>
      <c r="C70" s="16">
        <f>IF($F70="","",INDEX(배정!$D$2:$D$541,$F70))</f>
        <v/>
      </c>
      <c r="D70" s="16">
        <f>IF($F70="","",INDEX(배정!$E$2:$E$541,$F70))</f>
        <v/>
      </c>
      <c r="E70" t="inlineStr">
        <is>
          <t>송영길</t>
        </is>
      </c>
      <c r="F70">
        <f>IF(ISNA(MATCH($E70&amp;"|"&amp;7,배정!$G$2:$G$541,0)),"",MATCH($E70&amp;"|"&amp;7,배정!$G$2:$G$541,0))</f>
        <v/>
      </c>
      <c r="G70">
        <f>IF($F70="","",INDEX(배정!$C$2:$C$541,$F70))</f>
        <v/>
      </c>
    </row>
    <row r="71" ht="30" customHeight="1">
      <c r="A71" s="17" t="n"/>
      <c r="B71" s="15">
        <f>IF($F71="","",INDEX(배정!$B$2:$B$541,$F71)&amp;" ("&amp;INDEX(배정!$C$2:$C$541,$F71)&amp;")")</f>
        <v/>
      </c>
      <c r="C71" s="16">
        <f>IF($F71="","",INDEX(배정!$D$2:$D$541,$F71))</f>
        <v/>
      </c>
      <c r="D71" s="16">
        <f>IF($F71="","",INDEX(배정!$E$2:$E$541,$F71))</f>
        <v/>
      </c>
      <c r="E71" t="inlineStr">
        <is>
          <t>송영길</t>
        </is>
      </c>
      <c r="F71">
        <f>IF(ISNA(MATCH($E71&amp;"|"&amp;8,배정!$G$2:$G$541,0)),"",MATCH($E71&amp;"|"&amp;8,배정!$G$2:$G$541,0))</f>
        <v/>
      </c>
      <c r="G71">
        <f>IF($F71="","",INDEX(배정!$C$2:$C$541,$F71))</f>
        <v/>
      </c>
    </row>
    <row r="72" ht="30" customHeight="1">
      <c r="A72" s="17" t="n"/>
      <c r="B72" s="15">
        <f>IF($F72="","",INDEX(배정!$B$2:$B$541,$F72)&amp;" ("&amp;INDEX(배정!$C$2:$C$541,$F72)&amp;")")</f>
        <v/>
      </c>
      <c r="C72" s="16">
        <f>IF($F72="","",INDEX(배정!$D$2:$D$541,$F72))</f>
        <v/>
      </c>
      <c r="D72" s="16">
        <f>IF($F72="","",INDEX(배정!$E$2:$E$541,$F72))</f>
        <v/>
      </c>
      <c r="E72" t="inlineStr">
        <is>
          <t>송영길</t>
        </is>
      </c>
      <c r="F72">
        <f>IF(ISNA(MATCH($E72&amp;"|"&amp;9,배정!$G$2:$G$541,0)),"",MATCH($E72&amp;"|"&amp;9,배정!$G$2:$G$541,0))</f>
        <v/>
      </c>
      <c r="G72">
        <f>IF($F72="","",INDEX(배정!$C$2:$C$541,$F72))</f>
        <v/>
      </c>
    </row>
    <row r="73" ht="30" customHeight="1">
      <c r="A73" s="18" t="n"/>
      <c r="B73" s="15">
        <f>IF($F73="","",INDEX(배정!$B$2:$B$541,$F73)&amp;" ("&amp;INDEX(배정!$C$2:$C$541,$F73)&amp;")")</f>
        <v/>
      </c>
      <c r="C73" s="16">
        <f>IF($F73="","",INDEX(배정!$D$2:$D$541,$F73))</f>
        <v/>
      </c>
      <c r="D73" s="16">
        <f>IF($F73="","",INDEX(배정!$E$2:$E$541,$F73))</f>
        <v/>
      </c>
      <c r="E73" t="inlineStr">
        <is>
          <t>송영길</t>
        </is>
      </c>
      <c r="F73">
        <f>IF(ISNA(MATCH($E73&amp;"|"&amp;10,배정!$G$2:$G$541,0)),"",MATCH($E73&amp;"|"&amp;10,배정!$G$2:$G$541,0))</f>
        <v/>
      </c>
      <c r="G73">
        <f>IF($F73="","",INDEX(배정!$C$2:$C$541,$F73))</f>
        <v/>
      </c>
    </row>
    <row r="74" ht="30" customHeight="1">
      <c r="A74" s="14" t="inlineStr">
        <is>
          <t>이은지 책임</t>
        </is>
      </c>
      <c r="B74" s="15">
        <f>IF($F74="","",INDEX(배정!$B$2:$B$541,$F74)&amp;" ("&amp;INDEX(배정!$C$2:$C$541,$F74)&amp;")")</f>
        <v/>
      </c>
      <c r="C74" s="16">
        <f>IF($F74="","",INDEX(배정!$D$2:$D$541,$F74))</f>
        <v/>
      </c>
      <c r="D74" s="16">
        <f>IF($F74="","",INDEX(배정!$E$2:$E$541,$F74))</f>
        <v/>
      </c>
      <c r="E74" t="inlineStr">
        <is>
          <t>이은지</t>
        </is>
      </c>
      <c r="F74">
        <f>IF(ISNA(MATCH($E74&amp;"|"&amp;1,배정!$G$2:$G$541,0)),"",MATCH($E74&amp;"|"&amp;1,배정!$G$2:$G$541,0))</f>
        <v/>
      </c>
      <c r="G74">
        <f>IF($F74="","",INDEX(배정!$C$2:$C$541,$F74))</f>
        <v/>
      </c>
    </row>
    <row r="75" ht="30" customHeight="1">
      <c r="A75" s="17" t="n"/>
      <c r="B75" s="15">
        <f>IF($F75="","",INDEX(배정!$B$2:$B$541,$F75)&amp;" ("&amp;INDEX(배정!$C$2:$C$541,$F75)&amp;")")</f>
        <v/>
      </c>
      <c r="C75" s="16">
        <f>IF($F75="","",INDEX(배정!$D$2:$D$541,$F75))</f>
        <v/>
      </c>
      <c r="D75" s="16">
        <f>IF($F75="","",INDEX(배정!$E$2:$E$541,$F75))</f>
        <v/>
      </c>
      <c r="E75" t="inlineStr">
        <is>
          <t>이은지</t>
        </is>
      </c>
      <c r="F75">
        <f>IF(ISNA(MATCH($E75&amp;"|"&amp;2,배정!$G$2:$G$541,0)),"",MATCH($E75&amp;"|"&amp;2,배정!$G$2:$G$541,0))</f>
        <v/>
      </c>
      <c r="G75">
        <f>IF($F75="","",INDEX(배정!$C$2:$C$541,$F75))</f>
        <v/>
      </c>
    </row>
    <row r="76" ht="30" customHeight="1">
      <c r="A76" s="17" t="n"/>
      <c r="B76" s="15">
        <f>IF($F76="","",INDEX(배정!$B$2:$B$541,$F76)&amp;" ("&amp;INDEX(배정!$C$2:$C$541,$F76)&amp;")")</f>
        <v/>
      </c>
      <c r="C76" s="16">
        <f>IF($F76="","",INDEX(배정!$D$2:$D$541,$F76))</f>
        <v/>
      </c>
      <c r="D76" s="16">
        <f>IF($F76="","",INDEX(배정!$E$2:$E$541,$F76))</f>
        <v/>
      </c>
      <c r="E76" t="inlineStr">
        <is>
          <t>이은지</t>
        </is>
      </c>
      <c r="F76">
        <f>IF(ISNA(MATCH($E76&amp;"|"&amp;3,배정!$G$2:$G$541,0)),"",MATCH($E76&amp;"|"&amp;3,배정!$G$2:$G$541,0))</f>
        <v/>
      </c>
      <c r="G76">
        <f>IF($F76="","",INDEX(배정!$C$2:$C$541,$F76))</f>
        <v/>
      </c>
    </row>
    <row r="77" ht="30" customHeight="1">
      <c r="A77" s="17" t="n"/>
      <c r="B77" s="15">
        <f>IF($F77="","",INDEX(배정!$B$2:$B$541,$F77)&amp;" ("&amp;INDEX(배정!$C$2:$C$541,$F77)&amp;")")</f>
        <v/>
      </c>
      <c r="C77" s="16">
        <f>IF($F77="","",INDEX(배정!$D$2:$D$541,$F77))</f>
        <v/>
      </c>
      <c r="D77" s="16">
        <f>IF($F77="","",INDEX(배정!$E$2:$E$541,$F77))</f>
        <v/>
      </c>
      <c r="E77" t="inlineStr">
        <is>
          <t>이은지</t>
        </is>
      </c>
      <c r="F77">
        <f>IF(ISNA(MATCH($E77&amp;"|"&amp;4,배정!$G$2:$G$541,0)),"",MATCH($E77&amp;"|"&amp;4,배정!$G$2:$G$541,0))</f>
        <v/>
      </c>
      <c r="G77">
        <f>IF($F77="","",INDEX(배정!$C$2:$C$541,$F77))</f>
        <v/>
      </c>
    </row>
    <row r="78" ht="30" customHeight="1">
      <c r="A78" s="17" t="n"/>
      <c r="B78" s="15">
        <f>IF($F78="","",INDEX(배정!$B$2:$B$541,$F78)&amp;" ("&amp;INDEX(배정!$C$2:$C$541,$F78)&amp;")")</f>
        <v/>
      </c>
      <c r="C78" s="16">
        <f>IF($F78="","",INDEX(배정!$D$2:$D$541,$F78))</f>
        <v/>
      </c>
      <c r="D78" s="16">
        <f>IF($F78="","",INDEX(배정!$E$2:$E$541,$F78))</f>
        <v/>
      </c>
      <c r="E78" t="inlineStr">
        <is>
          <t>이은지</t>
        </is>
      </c>
      <c r="F78">
        <f>IF(ISNA(MATCH($E78&amp;"|"&amp;5,배정!$G$2:$G$541,0)),"",MATCH($E78&amp;"|"&amp;5,배정!$G$2:$G$541,0))</f>
        <v/>
      </c>
      <c r="G78">
        <f>IF($F78="","",INDEX(배정!$C$2:$C$541,$F78))</f>
        <v/>
      </c>
    </row>
    <row r="79" ht="30" customHeight="1">
      <c r="A79" s="17" t="n"/>
      <c r="B79" s="15">
        <f>IF($F79="","",INDEX(배정!$B$2:$B$541,$F79)&amp;" ("&amp;INDEX(배정!$C$2:$C$541,$F79)&amp;")")</f>
        <v/>
      </c>
      <c r="C79" s="16">
        <f>IF($F79="","",INDEX(배정!$D$2:$D$541,$F79))</f>
        <v/>
      </c>
      <c r="D79" s="16">
        <f>IF($F79="","",INDEX(배정!$E$2:$E$541,$F79))</f>
        <v/>
      </c>
      <c r="E79" t="inlineStr">
        <is>
          <t>이은지</t>
        </is>
      </c>
      <c r="F79">
        <f>IF(ISNA(MATCH($E79&amp;"|"&amp;6,배정!$G$2:$G$541,0)),"",MATCH($E79&amp;"|"&amp;6,배정!$G$2:$G$541,0))</f>
        <v/>
      </c>
      <c r="G79">
        <f>IF($F79="","",INDEX(배정!$C$2:$C$541,$F79))</f>
        <v/>
      </c>
    </row>
    <row r="80" ht="30" customHeight="1">
      <c r="A80" s="17" t="n"/>
      <c r="B80" s="15">
        <f>IF($F80="","",INDEX(배정!$B$2:$B$541,$F80)&amp;" ("&amp;INDEX(배정!$C$2:$C$541,$F80)&amp;")")</f>
        <v/>
      </c>
      <c r="C80" s="16">
        <f>IF($F80="","",INDEX(배정!$D$2:$D$541,$F80))</f>
        <v/>
      </c>
      <c r="D80" s="16">
        <f>IF($F80="","",INDEX(배정!$E$2:$E$541,$F80))</f>
        <v/>
      </c>
      <c r="E80" t="inlineStr">
        <is>
          <t>이은지</t>
        </is>
      </c>
      <c r="F80">
        <f>IF(ISNA(MATCH($E80&amp;"|"&amp;7,배정!$G$2:$G$541,0)),"",MATCH($E80&amp;"|"&amp;7,배정!$G$2:$G$541,0))</f>
        <v/>
      </c>
      <c r="G80">
        <f>IF($F80="","",INDEX(배정!$C$2:$C$541,$F80))</f>
        <v/>
      </c>
    </row>
    <row r="81" ht="30" customHeight="1">
      <c r="A81" s="17" t="n"/>
      <c r="B81" s="15">
        <f>IF($F81="","",INDEX(배정!$B$2:$B$541,$F81)&amp;" ("&amp;INDEX(배정!$C$2:$C$541,$F81)&amp;")")</f>
        <v/>
      </c>
      <c r="C81" s="16">
        <f>IF($F81="","",INDEX(배정!$D$2:$D$541,$F81))</f>
        <v/>
      </c>
      <c r="D81" s="16">
        <f>IF($F81="","",INDEX(배정!$E$2:$E$541,$F81))</f>
        <v/>
      </c>
      <c r="E81" t="inlineStr">
        <is>
          <t>이은지</t>
        </is>
      </c>
      <c r="F81">
        <f>IF(ISNA(MATCH($E81&amp;"|"&amp;8,배정!$G$2:$G$541,0)),"",MATCH($E81&amp;"|"&amp;8,배정!$G$2:$G$541,0))</f>
        <v/>
      </c>
      <c r="G81">
        <f>IF($F81="","",INDEX(배정!$C$2:$C$541,$F81))</f>
        <v/>
      </c>
    </row>
    <row r="82" ht="30" customHeight="1">
      <c r="A82" s="17" t="n"/>
      <c r="B82" s="15">
        <f>IF($F82="","",INDEX(배정!$B$2:$B$541,$F82)&amp;" ("&amp;INDEX(배정!$C$2:$C$541,$F82)&amp;")")</f>
        <v/>
      </c>
      <c r="C82" s="16">
        <f>IF($F82="","",INDEX(배정!$D$2:$D$541,$F82))</f>
        <v/>
      </c>
      <c r="D82" s="16">
        <f>IF($F82="","",INDEX(배정!$E$2:$E$541,$F82))</f>
        <v/>
      </c>
      <c r="E82" t="inlineStr">
        <is>
          <t>이은지</t>
        </is>
      </c>
      <c r="F82">
        <f>IF(ISNA(MATCH($E82&amp;"|"&amp;9,배정!$G$2:$G$541,0)),"",MATCH($E82&amp;"|"&amp;9,배정!$G$2:$G$541,0))</f>
        <v/>
      </c>
      <c r="G82">
        <f>IF($F82="","",INDEX(배정!$C$2:$C$541,$F82))</f>
        <v/>
      </c>
    </row>
    <row r="83" ht="30" customHeight="1">
      <c r="A83" s="18" t="n"/>
      <c r="B83" s="15">
        <f>IF($F83="","",INDEX(배정!$B$2:$B$541,$F83)&amp;" ("&amp;INDEX(배정!$C$2:$C$541,$F83)&amp;")")</f>
        <v/>
      </c>
      <c r="C83" s="16">
        <f>IF($F83="","",INDEX(배정!$D$2:$D$541,$F83))</f>
        <v/>
      </c>
      <c r="D83" s="16">
        <f>IF($F83="","",INDEX(배정!$E$2:$E$541,$F83))</f>
        <v/>
      </c>
      <c r="E83" t="inlineStr">
        <is>
          <t>이은지</t>
        </is>
      </c>
      <c r="F83">
        <f>IF(ISNA(MATCH($E83&amp;"|"&amp;10,배정!$G$2:$G$541,0)),"",MATCH($E83&amp;"|"&amp;10,배정!$G$2:$G$541,0))</f>
        <v/>
      </c>
      <c r="G83">
        <f>IF($F83="","",INDEX(배정!$C$2:$C$541,$F83))</f>
        <v/>
      </c>
    </row>
    <row r="84" ht="30" customHeight="1">
      <c r="A84" s="14" t="inlineStr">
        <is>
          <t>송치영 책임</t>
        </is>
      </c>
      <c r="B84" s="15">
        <f>IF($F84="","",INDEX(배정!$B$2:$B$541,$F84)&amp;" ("&amp;INDEX(배정!$C$2:$C$541,$F84)&amp;")")</f>
        <v/>
      </c>
      <c r="C84" s="16">
        <f>IF($F84="","",INDEX(배정!$D$2:$D$541,$F84))</f>
        <v/>
      </c>
      <c r="D84" s="16">
        <f>IF($F84="","",INDEX(배정!$E$2:$E$541,$F84))</f>
        <v/>
      </c>
      <c r="E84" t="inlineStr">
        <is>
          <t>송치영</t>
        </is>
      </c>
      <c r="F84">
        <f>IF(ISNA(MATCH($E84&amp;"|"&amp;1,배정!$G$2:$G$541,0)),"",MATCH($E84&amp;"|"&amp;1,배정!$G$2:$G$541,0))</f>
        <v/>
      </c>
      <c r="G84">
        <f>IF($F84="","",INDEX(배정!$C$2:$C$541,$F84))</f>
        <v/>
      </c>
    </row>
    <row r="85" ht="30" customHeight="1">
      <c r="A85" s="17" t="n"/>
      <c r="B85" s="15">
        <f>IF($F85="","",INDEX(배정!$B$2:$B$541,$F85)&amp;" ("&amp;INDEX(배정!$C$2:$C$541,$F85)&amp;")")</f>
        <v/>
      </c>
      <c r="C85" s="16">
        <f>IF($F85="","",INDEX(배정!$D$2:$D$541,$F85))</f>
        <v/>
      </c>
      <c r="D85" s="16">
        <f>IF($F85="","",INDEX(배정!$E$2:$E$541,$F85))</f>
        <v/>
      </c>
      <c r="E85" t="inlineStr">
        <is>
          <t>송치영</t>
        </is>
      </c>
      <c r="F85">
        <f>IF(ISNA(MATCH($E85&amp;"|"&amp;2,배정!$G$2:$G$541,0)),"",MATCH($E85&amp;"|"&amp;2,배정!$G$2:$G$541,0))</f>
        <v/>
      </c>
      <c r="G85">
        <f>IF($F85="","",INDEX(배정!$C$2:$C$541,$F85))</f>
        <v/>
      </c>
    </row>
    <row r="86" ht="30" customHeight="1">
      <c r="A86" s="17" t="n"/>
      <c r="B86" s="15">
        <f>IF($F86="","",INDEX(배정!$B$2:$B$541,$F86)&amp;" ("&amp;INDEX(배정!$C$2:$C$541,$F86)&amp;")")</f>
        <v/>
      </c>
      <c r="C86" s="16">
        <f>IF($F86="","",INDEX(배정!$D$2:$D$541,$F86))</f>
        <v/>
      </c>
      <c r="D86" s="16">
        <f>IF($F86="","",INDEX(배정!$E$2:$E$541,$F86))</f>
        <v/>
      </c>
      <c r="E86" t="inlineStr">
        <is>
          <t>송치영</t>
        </is>
      </c>
      <c r="F86">
        <f>IF(ISNA(MATCH($E86&amp;"|"&amp;3,배정!$G$2:$G$541,0)),"",MATCH($E86&amp;"|"&amp;3,배정!$G$2:$G$541,0))</f>
        <v/>
      </c>
      <c r="G86">
        <f>IF($F86="","",INDEX(배정!$C$2:$C$541,$F86))</f>
        <v/>
      </c>
    </row>
    <row r="87" ht="30" customHeight="1">
      <c r="A87" s="17" t="n"/>
      <c r="B87" s="15">
        <f>IF($F87="","",INDEX(배정!$B$2:$B$541,$F87)&amp;" ("&amp;INDEX(배정!$C$2:$C$541,$F87)&amp;")")</f>
        <v/>
      </c>
      <c r="C87" s="16">
        <f>IF($F87="","",INDEX(배정!$D$2:$D$541,$F87))</f>
        <v/>
      </c>
      <c r="D87" s="16">
        <f>IF($F87="","",INDEX(배정!$E$2:$E$541,$F87))</f>
        <v/>
      </c>
      <c r="E87" t="inlineStr">
        <is>
          <t>송치영</t>
        </is>
      </c>
      <c r="F87">
        <f>IF(ISNA(MATCH($E87&amp;"|"&amp;4,배정!$G$2:$G$541,0)),"",MATCH($E87&amp;"|"&amp;4,배정!$G$2:$G$541,0))</f>
        <v/>
      </c>
      <c r="G87">
        <f>IF($F87="","",INDEX(배정!$C$2:$C$541,$F87))</f>
        <v/>
      </c>
    </row>
    <row r="88" ht="30" customHeight="1">
      <c r="A88" s="17" t="n"/>
      <c r="B88" s="15">
        <f>IF($F88="","",INDEX(배정!$B$2:$B$541,$F88)&amp;" ("&amp;INDEX(배정!$C$2:$C$541,$F88)&amp;")")</f>
        <v/>
      </c>
      <c r="C88" s="16">
        <f>IF($F88="","",INDEX(배정!$D$2:$D$541,$F88))</f>
        <v/>
      </c>
      <c r="D88" s="16">
        <f>IF($F88="","",INDEX(배정!$E$2:$E$541,$F88))</f>
        <v/>
      </c>
      <c r="E88" t="inlineStr">
        <is>
          <t>송치영</t>
        </is>
      </c>
      <c r="F88">
        <f>IF(ISNA(MATCH($E88&amp;"|"&amp;5,배정!$G$2:$G$541,0)),"",MATCH($E88&amp;"|"&amp;5,배정!$G$2:$G$541,0))</f>
        <v/>
      </c>
      <c r="G88">
        <f>IF($F88="","",INDEX(배정!$C$2:$C$541,$F88))</f>
        <v/>
      </c>
    </row>
    <row r="89" ht="30" customHeight="1">
      <c r="A89" s="17" t="n"/>
      <c r="B89" s="15">
        <f>IF($F89="","",INDEX(배정!$B$2:$B$541,$F89)&amp;" ("&amp;INDEX(배정!$C$2:$C$541,$F89)&amp;")")</f>
        <v/>
      </c>
      <c r="C89" s="16">
        <f>IF($F89="","",INDEX(배정!$D$2:$D$541,$F89))</f>
        <v/>
      </c>
      <c r="D89" s="16">
        <f>IF($F89="","",INDEX(배정!$E$2:$E$541,$F89))</f>
        <v/>
      </c>
      <c r="E89" t="inlineStr">
        <is>
          <t>송치영</t>
        </is>
      </c>
      <c r="F89">
        <f>IF(ISNA(MATCH($E89&amp;"|"&amp;6,배정!$G$2:$G$541,0)),"",MATCH($E89&amp;"|"&amp;6,배정!$G$2:$G$541,0))</f>
        <v/>
      </c>
      <c r="G89">
        <f>IF($F89="","",INDEX(배정!$C$2:$C$541,$F89))</f>
        <v/>
      </c>
    </row>
    <row r="90" ht="30" customHeight="1">
      <c r="A90" s="17" t="n"/>
      <c r="B90" s="15">
        <f>IF($F90="","",INDEX(배정!$B$2:$B$541,$F90)&amp;" ("&amp;INDEX(배정!$C$2:$C$541,$F90)&amp;")")</f>
        <v/>
      </c>
      <c r="C90" s="16">
        <f>IF($F90="","",INDEX(배정!$D$2:$D$541,$F90))</f>
        <v/>
      </c>
      <c r="D90" s="16">
        <f>IF($F90="","",INDEX(배정!$E$2:$E$541,$F90))</f>
        <v/>
      </c>
      <c r="E90" t="inlineStr">
        <is>
          <t>송치영</t>
        </is>
      </c>
      <c r="F90">
        <f>IF(ISNA(MATCH($E90&amp;"|"&amp;7,배정!$G$2:$G$541,0)),"",MATCH($E90&amp;"|"&amp;7,배정!$G$2:$G$541,0))</f>
        <v/>
      </c>
      <c r="G90">
        <f>IF($F90="","",INDEX(배정!$C$2:$C$541,$F90))</f>
        <v/>
      </c>
    </row>
    <row r="91" ht="30" customHeight="1">
      <c r="A91" s="17" t="n"/>
      <c r="B91" s="15">
        <f>IF($F91="","",INDEX(배정!$B$2:$B$541,$F91)&amp;" ("&amp;INDEX(배정!$C$2:$C$541,$F91)&amp;")")</f>
        <v/>
      </c>
      <c r="C91" s="16">
        <f>IF($F91="","",INDEX(배정!$D$2:$D$541,$F91))</f>
        <v/>
      </c>
      <c r="D91" s="16">
        <f>IF($F91="","",INDEX(배정!$E$2:$E$541,$F91))</f>
        <v/>
      </c>
      <c r="E91" t="inlineStr">
        <is>
          <t>송치영</t>
        </is>
      </c>
      <c r="F91">
        <f>IF(ISNA(MATCH($E91&amp;"|"&amp;8,배정!$G$2:$G$541,0)),"",MATCH($E91&amp;"|"&amp;8,배정!$G$2:$G$541,0))</f>
        <v/>
      </c>
      <c r="G91">
        <f>IF($F91="","",INDEX(배정!$C$2:$C$541,$F91))</f>
        <v/>
      </c>
    </row>
    <row r="92" ht="30" customHeight="1">
      <c r="A92" s="17" t="n"/>
      <c r="B92" s="15">
        <f>IF($F92="","",INDEX(배정!$B$2:$B$541,$F92)&amp;" ("&amp;INDEX(배정!$C$2:$C$541,$F92)&amp;")")</f>
        <v/>
      </c>
      <c r="C92" s="16">
        <f>IF($F92="","",INDEX(배정!$D$2:$D$541,$F92))</f>
        <v/>
      </c>
      <c r="D92" s="16">
        <f>IF($F92="","",INDEX(배정!$E$2:$E$541,$F92))</f>
        <v/>
      </c>
      <c r="E92" t="inlineStr">
        <is>
          <t>송치영</t>
        </is>
      </c>
      <c r="F92">
        <f>IF(ISNA(MATCH($E92&amp;"|"&amp;9,배정!$G$2:$G$541,0)),"",MATCH($E92&amp;"|"&amp;9,배정!$G$2:$G$541,0))</f>
        <v/>
      </c>
      <c r="G92">
        <f>IF($F92="","",INDEX(배정!$C$2:$C$541,$F92))</f>
        <v/>
      </c>
    </row>
    <row r="93" ht="30" customHeight="1">
      <c r="A93" s="18" t="n"/>
      <c r="B93" s="15">
        <f>IF($F93="","",INDEX(배정!$B$2:$B$541,$F93)&amp;" ("&amp;INDEX(배정!$C$2:$C$541,$F93)&amp;")")</f>
        <v/>
      </c>
      <c r="C93" s="16">
        <f>IF($F93="","",INDEX(배정!$D$2:$D$541,$F93))</f>
        <v/>
      </c>
      <c r="D93" s="16">
        <f>IF($F93="","",INDEX(배정!$E$2:$E$541,$F93))</f>
        <v/>
      </c>
      <c r="E93" t="inlineStr">
        <is>
          <t>송치영</t>
        </is>
      </c>
      <c r="F93">
        <f>IF(ISNA(MATCH($E93&amp;"|"&amp;10,배정!$G$2:$G$541,0)),"",MATCH($E93&amp;"|"&amp;10,배정!$G$2:$G$541,0))</f>
        <v/>
      </c>
      <c r="G93">
        <f>IF($F93="","",INDEX(배정!$C$2:$C$541,$F93))</f>
        <v/>
      </c>
    </row>
    <row r="94" ht="30" customHeight="1">
      <c r="A94" s="14" t="inlineStr">
        <is>
          <t>남은주 책임</t>
        </is>
      </c>
      <c r="B94" s="15">
        <f>IF($F94="","",INDEX(배정!$B$2:$B$541,$F94)&amp;" ("&amp;INDEX(배정!$C$2:$C$541,$F94)&amp;")")</f>
        <v/>
      </c>
      <c r="C94" s="16">
        <f>IF($F94="","",INDEX(배정!$D$2:$D$541,$F94))</f>
        <v/>
      </c>
      <c r="D94" s="16">
        <f>IF($F94="","",INDEX(배정!$E$2:$E$541,$F94))</f>
        <v/>
      </c>
      <c r="E94" t="inlineStr">
        <is>
          <t>남은주</t>
        </is>
      </c>
      <c r="F94">
        <f>IF(ISNA(MATCH($E94&amp;"|"&amp;1,배정!$G$2:$G$541,0)),"",MATCH($E94&amp;"|"&amp;1,배정!$G$2:$G$541,0))</f>
        <v/>
      </c>
      <c r="G94">
        <f>IF($F94="","",INDEX(배정!$C$2:$C$541,$F94))</f>
        <v/>
      </c>
    </row>
    <row r="95" ht="30" customHeight="1">
      <c r="A95" s="17" t="n"/>
      <c r="B95" s="15">
        <f>IF($F95="","",INDEX(배정!$B$2:$B$541,$F95)&amp;" ("&amp;INDEX(배정!$C$2:$C$541,$F95)&amp;")")</f>
        <v/>
      </c>
      <c r="C95" s="16">
        <f>IF($F95="","",INDEX(배정!$D$2:$D$541,$F95))</f>
        <v/>
      </c>
      <c r="D95" s="16">
        <f>IF($F95="","",INDEX(배정!$E$2:$E$541,$F95))</f>
        <v/>
      </c>
      <c r="E95" t="inlineStr">
        <is>
          <t>남은주</t>
        </is>
      </c>
      <c r="F95">
        <f>IF(ISNA(MATCH($E95&amp;"|"&amp;2,배정!$G$2:$G$541,0)),"",MATCH($E95&amp;"|"&amp;2,배정!$G$2:$G$541,0))</f>
        <v/>
      </c>
      <c r="G95">
        <f>IF($F95="","",INDEX(배정!$C$2:$C$541,$F95))</f>
        <v/>
      </c>
    </row>
    <row r="96" ht="30" customHeight="1">
      <c r="A96" s="17" t="n"/>
      <c r="B96" s="15">
        <f>IF($F96="","",INDEX(배정!$B$2:$B$541,$F96)&amp;" ("&amp;INDEX(배정!$C$2:$C$541,$F96)&amp;")")</f>
        <v/>
      </c>
      <c r="C96" s="16">
        <f>IF($F96="","",INDEX(배정!$D$2:$D$541,$F96))</f>
        <v/>
      </c>
      <c r="D96" s="16">
        <f>IF($F96="","",INDEX(배정!$E$2:$E$541,$F96))</f>
        <v/>
      </c>
      <c r="E96" t="inlineStr">
        <is>
          <t>남은주</t>
        </is>
      </c>
      <c r="F96">
        <f>IF(ISNA(MATCH($E96&amp;"|"&amp;3,배정!$G$2:$G$541,0)),"",MATCH($E96&amp;"|"&amp;3,배정!$G$2:$G$541,0))</f>
        <v/>
      </c>
      <c r="G96">
        <f>IF($F96="","",INDEX(배정!$C$2:$C$541,$F96))</f>
        <v/>
      </c>
    </row>
    <row r="97" ht="30" customHeight="1">
      <c r="A97" s="17" t="n"/>
      <c r="B97" s="15">
        <f>IF($F97="","",INDEX(배정!$B$2:$B$541,$F97)&amp;" ("&amp;INDEX(배정!$C$2:$C$541,$F97)&amp;")")</f>
        <v/>
      </c>
      <c r="C97" s="16">
        <f>IF($F97="","",INDEX(배정!$D$2:$D$541,$F97))</f>
        <v/>
      </c>
      <c r="D97" s="16">
        <f>IF($F97="","",INDEX(배정!$E$2:$E$541,$F97))</f>
        <v/>
      </c>
      <c r="E97" t="inlineStr">
        <is>
          <t>남은주</t>
        </is>
      </c>
      <c r="F97">
        <f>IF(ISNA(MATCH($E97&amp;"|"&amp;4,배정!$G$2:$G$541,0)),"",MATCH($E97&amp;"|"&amp;4,배정!$G$2:$G$541,0))</f>
        <v/>
      </c>
      <c r="G97">
        <f>IF($F97="","",INDEX(배정!$C$2:$C$541,$F97))</f>
        <v/>
      </c>
    </row>
    <row r="98" ht="30" customHeight="1">
      <c r="A98" s="17" t="n"/>
      <c r="B98" s="15">
        <f>IF($F98="","",INDEX(배정!$B$2:$B$541,$F98)&amp;" ("&amp;INDEX(배정!$C$2:$C$541,$F98)&amp;")")</f>
        <v/>
      </c>
      <c r="C98" s="16">
        <f>IF($F98="","",INDEX(배정!$D$2:$D$541,$F98))</f>
        <v/>
      </c>
      <c r="D98" s="16">
        <f>IF($F98="","",INDEX(배정!$E$2:$E$541,$F98))</f>
        <v/>
      </c>
      <c r="E98" t="inlineStr">
        <is>
          <t>남은주</t>
        </is>
      </c>
      <c r="F98">
        <f>IF(ISNA(MATCH($E98&amp;"|"&amp;5,배정!$G$2:$G$541,0)),"",MATCH($E98&amp;"|"&amp;5,배정!$G$2:$G$541,0))</f>
        <v/>
      </c>
      <c r="G98">
        <f>IF($F98="","",INDEX(배정!$C$2:$C$541,$F98))</f>
        <v/>
      </c>
    </row>
    <row r="99" ht="30" customHeight="1">
      <c r="A99" s="17" t="n"/>
      <c r="B99" s="15">
        <f>IF($F99="","",INDEX(배정!$B$2:$B$541,$F99)&amp;" ("&amp;INDEX(배정!$C$2:$C$541,$F99)&amp;")")</f>
        <v/>
      </c>
      <c r="C99" s="16">
        <f>IF($F99="","",INDEX(배정!$D$2:$D$541,$F99))</f>
        <v/>
      </c>
      <c r="D99" s="16">
        <f>IF($F99="","",INDEX(배정!$E$2:$E$541,$F99))</f>
        <v/>
      </c>
      <c r="E99" t="inlineStr">
        <is>
          <t>남은주</t>
        </is>
      </c>
      <c r="F99">
        <f>IF(ISNA(MATCH($E99&amp;"|"&amp;6,배정!$G$2:$G$541,0)),"",MATCH($E99&amp;"|"&amp;6,배정!$G$2:$G$541,0))</f>
        <v/>
      </c>
      <c r="G99">
        <f>IF($F99="","",INDEX(배정!$C$2:$C$541,$F99))</f>
        <v/>
      </c>
    </row>
    <row r="100" ht="30" customHeight="1">
      <c r="A100" s="17" t="n"/>
      <c r="B100" s="15">
        <f>IF($F100="","",INDEX(배정!$B$2:$B$541,$F100)&amp;" ("&amp;INDEX(배정!$C$2:$C$541,$F100)&amp;")")</f>
        <v/>
      </c>
      <c r="C100" s="16">
        <f>IF($F100="","",INDEX(배정!$D$2:$D$541,$F100))</f>
        <v/>
      </c>
      <c r="D100" s="16">
        <f>IF($F100="","",INDEX(배정!$E$2:$E$541,$F100))</f>
        <v/>
      </c>
      <c r="E100" t="inlineStr">
        <is>
          <t>남은주</t>
        </is>
      </c>
      <c r="F100">
        <f>IF(ISNA(MATCH($E100&amp;"|"&amp;7,배정!$G$2:$G$541,0)),"",MATCH($E100&amp;"|"&amp;7,배정!$G$2:$G$541,0))</f>
        <v/>
      </c>
      <c r="G100">
        <f>IF($F100="","",INDEX(배정!$C$2:$C$541,$F100))</f>
        <v/>
      </c>
    </row>
    <row r="101" ht="30" customHeight="1">
      <c r="A101" s="17" t="n"/>
      <c r="B101" s="15">
        <f>IF($F101="","",INDEX(배정!$B$2:$B$541,$F101)&amp;" ("&amp;INDEX(배정!$C$2:$C$541,$F101)&amp;")")</f>
        <v/>
      </c>
      <c r="C101" s="16">
        <f>IF($F101="","",INDEX(배정!$D$2:$D$541,$F101))</f>
        <v/>
      </c>
      <c r="D101" s="16">
        <f>IF($F101="","",INDEX(배정!$E$2:$E$541,$F101))</f>
        <v/>
      </c>
      <c r="E101" t="inlineStr">
        <is>
          <t>남은주</t>
        </is>
      </c>
      <c r="F101">
        <f>IF(ISNA(MATCH($E101&amp;"|"&amp;8,배정!$G$2:$G$541,0)),"",MATCH($E101&amp;"|"&amp;8,배정!$G$2:$G$541,0))</f>
        <v/>
      </c>
      <c r="G101">
        <f>IF($F101="","",INDEX(배정!$C$2:$C$541,$F101))</f>
        <v/>
      </c>
    </row>
    <row r="102" ht="30" customHeight="1">
      <c r="A102" s="17" t="n"/>
      <c r="B102" s="15">
        <f>IF($F102="","",INDEX(배정!$B$2:$B$541,$F102)&amp;" ("&amp;INDEX(배정!$C$2:$C$541,$F102)&amp;")")</f>
        <v/>
      </c>
      <c r="C102" s="16">
        <f>IF($F102="","",INDEX(배정!$D$2:$D$541,$F102))</f>
        <v/>
      </c>
      <c r="D102" s="16">
        <f>IF($F102="","",INDEX(배정!$E$2:$E$541,$F102))</f>
        <v/>
      </c>
      <c r="E102" t="inlineStr">
        <is>
          <t>남은주</t>
        </is>
      </c>
      <c r="F102">
        <f>IF(ISNA(MATCH($E102&amp;"|"&amp;9,배정!$G$2:$G$541,0)),"",MATCH($E102&amp;"|"&amp;9,배정!$G$2:$G$541,0))</f>
        <v/>
      </c>
      <c r="G102">
        <f>IF($F102="","",INDEX(배정!$C$2:$C$541,$F102))</f>
        <v/>
      </c>
    </row>
    <row r="103" ht="30" customHeight="1">
      <c r="A103" s="18" t="n"/>
      <c r="B103" s="15">
        <f>IF($F103="","",INDEX(배정!$B$2:$B$541,$F103)&amp;" ("&amp;INDEX(배정!$C$2:$C$541,$F103)&amp;")")</f>
        <v/>
      </c>
      <c r="C103" s="16">
        <f>IF($F103="","",INDEX(배정!$D$2:$D$541,$F103))</f>
        <v/>
      </c>
      <c r="D103" s="16">
        <f>IF($F103="","",INDEX(배정!$E$2:$E$541,$F103))</f>
        <v/>
      </c>
      <c r="E103" t="inlineStr">
        <is>
          <t>남은주</t>
        </is>
      </c>
      <c r="F103">
        <f>IF(ISNA(MATCH($E103&amp;"|"&amp;10,배정!$G$2:$G$541,0)),"",MATCH($E103&amp;"|"&amp;10,배정!$G$2:$G$541,0))</f>
        <v/>
      </c>
      <c r="G103">
        <f>IF($F103="","",INDEX(배정!$C$2:$C$541,$F103))</f>
        <v/>
      </c>
    </row>
    <row r="104" ht="30" customHeight="1">
      <c r="A104" s="14" t="inlineStr">
        <is>
          <t>임승주 선임</t>
        </is>
      </c>
      <c r="B104" s="15">
        <f>IF($F104="","",INDEX(배정!$B$2:$B$541,$F104)&amp;" ("&amp;INDEX(배정!$C$2:$C$541,$F104)&amp;")")</f>
        <v/>
      </c>
      <c r="C104" s="16">
        <f>IF($F104="","",INDEX(배정!$D$2:$D$541,$F104))</f>
        <v/>
      </c>
      <c r="D104" s="16">
        <f>IF($F104="","",INDEX(배정!$E$2:$E$541,$F104))</f>
        <v/>
      </c>
      <c r="E104" t="inlineStr">
        <is>
          <t>임승주</t>
        </is>
      </c>
      <c r="F104">
        <f>IF(ISNA(MATCH($E104&amp;"|"&amp;1,배정!$G$2:$G$541,0)),"",MATCH($E104&amp;"|"&amp;1,배정!$G$2:$G$541,0))</f>
        <v/>
      </c>
      <c r="G104">
        <f>IF($F104="","",INDEX(배정!$C$2:$C$541,$F104))</f>
        <v/>
      </c>
    </row>
    <row r="105" ht="30" customHeight="1">
      <c r="A105" s="17" t="n"/>
      <c r="B105" s="15">
        <f>IF($F105="","",INDEX(배정!$B$2:$B$541,$F105)&amp;" ("&amp;INDEX(배정!$C$2:$C$541,$F105)&amp;")")</f>
        <v/>
      </c>
      <c r="C105" s="16">
        <f>IF($F105="","",INDEX(배정!$D$2:$D$541,$F105))</f>
        <v/>
      </c>
      <c r="D105" s="16">
        <f>IF($F105="","",INDEX(배정!$E$2:$E$541,$F105))</f>
        <v/>
      </c>
      <c r="E105" t="inlineStr">
        <is>
          <t>임승주</t>
        </is>
      </c>
      <c r="F105">
        <f>IF(ISNA(MATCH($E105&amp;"|"&amp;2,배정!$G$2:$G$541,0)),"",MATCH($E105&amp;"|"&amp;2,배정!$G$2:$G$541,0))</f>
        <v/>
      </c>
      <c r="G105">
        <f>IF($F105="","",INDEX(배정!$C$2:$C$541,$F105))</f>
        <v/>
      </c>
    </row>
    <row r="106" ht="30" customHeight="1">
      <c r="A106" s="17" t="n"/>
      <c r="B106" s="15">
        <f>IF($F106="","",INDEX(배정!$B$2:$B$541,$F106)&amp;" ("&amp;INDEX(배정!$C$2:$C$541,$F106)&amp;")")</f>
        <v/>
      </c>
      <c r="C106" s="16">
        <f>IF($F106="","",INDEX(배정!$D$2:$D$541,$F106))</f>
        <v/>
      </c>
      <c r="D106" s="16">
        <f>IF($F106="","",INDEX(배정!$E$2:$E$541,$F106))</f>
        <v/>
      </c>
      <c r="E106" t="inlineStr">
        <is>
          <t>임승주</t>
        </is>
      </c>
      <c r="F106">
        <f>IF(ISNA(MATCH($E106&amp;"|"&amp;3,배정!$G$2:$G$541,0)),"",MATCH($E106&amp;"|"&amp;3,배정!$G$2:$G$541,0))</f>
        <v/>
      </c>
      <c r="G106">
        <f>IF($F106="","",INDEX(배정!$C$2:$C$541,$F106))</f>
        <v/>
      </c>
    </row>
    <row r="107" ht="30" customHeight="1">
      <c r="A107" s="17" t="n"/>
      <c r="B107" s="15">
        <f>IF($F107="","",INDEX(배정!$B$2:$B$541,$F107)&amp;" ("&amp;INDEX(배정!$C$2:$C$541,$F107)&amp;")")</f>
        <v/>
      </c>
      <c r="C107" s="16">
        <f>IF($F107="","",INDEX(배정!$D$2:$D$541,$F107))</f>
        <v/>
      </c>
      <c r="D107" s="16">
        <f>IF($F107="","",INDEX(배정!$E$2:$E$541,$F107))</f>
        <v/>
      </c>
      <c r="E107" t="inlineStr">
        <is>
          <t>임승주</t>
        </is>
      </c>
      <c r="F107">
        <f>IF(ISNA(MATCH($E107&amp;"|"&amp;4,배정!$G$2:$G$541,0)),"",MATCH($E107&amp;"|"&amp;4,배정!$G$2:$G$541,0))</f>
        <v/>
      </c>
      <c r="G107">
        <f>IF($F107="","",INDEX(배정!$C$2:$C$541,$F107))</f>
        <v/>
      </c>
    </row>
    <row r="108" ht="30" customHeight="1">
      <c r="A108" s="17" t="n"/>
      <c r="B108" s="15">
        <f>IF($F108="","",INDEX(배정!$B$2:$B$541,$F108)&amp;" ("&amp;INDEX(배정!$C$2:$C$541,$F108)&amp;")")</f>
        <v/>
      </c>
      <c r="C108" s="16">
        <f>IF($F108="","",INDEX(배정!$D$2:$D$541,$F108))</f>
        <v/>
      </c>
      <c r="D108" s="16">
        <f>IF($F108="","",INDEX(배정!$E$2:$E$541,$F108))</f>
        <v/>
      </c>
      <c r="E108" t="inlineStr">
        <is>
          <t>임승주</t>
        </is>
      </c>
      <c r="F108">
        <f>IF(ISNA(MATCH($E108&amp;"|"&amp;5,배정!$G$2:$G$541,0)),"",MATCH($E108&amp;"|"&amp;5,배정!$G$2:$G$541,0))</f>
        <v/>
      </c>
      <c r="G108">
        <f>IF($F108="","",INDEX(배정!$C$2:$C$541,$F108))</f>
        <v/>
      </c>
    </row>
    <row r="109" ht="30" customHeight="1">
      <c r="A109" s="17" t="n"/>
      <c r="B109" s="15">
        <f>IF($F109="","",INDEX(배정!$B$2:$B$541,$F109)&amp;" ("&amp;INDEX(배정!$C$2:$C$541,$F109)&amp;")")</f>
        <v/>
      </c>
      <c r="C109" s="16">
        <f>IF($F109="","",INDEX(배정!$D$2:$D$541,$F109))</f>
        <v/>
      </c>
      <c r="D109" s="16">
        <f>IF($F109="","",INDEX(배정!$E$2:$E$541,$F109))</f>
        <v/>
      </c>
      <c r="E109" t="inlineStr">
        <is>
          <t>임승주</t>
        </is>
      </c>
      <c r="F109">
        <f>IF(ISNA(MATCH($E109&amp;"|"&amp;6,배정!$G$2:$G$541,0)),"",MATCH($E109&amp;"|"&amp;6,배정!$G$2:$G$541,0))</f>
        <v/>
      </c>
      <c r="G109">
        <f>IF($F109="","",INDEX(배정!$C$2:$C$541,$F109))</f>
        <v/>
      </c>
    </row>
    <row r="110" ht="30" customHeight="1">
      <c r="A110" s="17" t="n"/>
      <c r="B110" s="15">
        <f>IF($F110="","",INDEX(배정!$B$2:$B$541,$F110)&amp;" ("&amp;INDEX(배정!$C$2:$C$541,$F110)&amp;")")</f>
        <v/>
      </c>
      <c r="C110" s="16">
        <f>IF($F110="","",INDEX(배정!$D$2:$D$541,$F110))</f>
        <v/>
      </c>
      <c r="D110" s="16">
        <f>IF($F110="","",INDEX(배정!$E$2:$E$541,$F110))</f>
        <v/>
      </c>
      <c r="E110" t="inlineStr">
        <is>
          <t>임승주</t>
        </is>
      </c>
      <c r="F110">
        <f>IF(ISNA(MATCH($E110&amp;"|"&amp;7,배정!$G$2:$G$541,0)),"",MATCH($E110&amp;"|"&amp;7,배정!$G$2:$G$541,0))</f>
        <v/>
      </c>
      <c r="G110">
        <f>IF($F110="","",INDEX(배정!$C$2:$C$541,$F110))</f>
        <v/>
      </c>
    </row>
    <row r="111" ht="30" customHeight="1">
      <c r="A111" s="17" t="n"/>
      <c r="B111" s="15">
        <f>IF($F111="","",INDEX(배정!$B$2:$B$541,$F111)&amp;" ("&amp;INDEX(배정!$C$2:$C$541,$F111)&amp;")")</f>
        <v/>
      </c>
      <c r="C111" s="16">
        <f>IF($F111="","",INDEX(배정!$D$2:$D$541,$F111))</f>
        <v/>
      </c>
      <c r="D111" s="16">
        <f>IF($F111="","",INDEX(배정!$E$2:$E$541,$F111))</f>
        <v/>
      </c>
      <c r="E111" t="inlineStr">
        <is>
          <t>임승주</t>
        </is>
      </c>
      <c r="F111">
        <f>IF(ISNA(MATCH($E111&amp;"|"&amp;8,배정!$G$2:$G$541,0)),"",MATCH($E111&amp;"|"&amp;8,배정!$G$2:$G$541,0))</f>
        <v/>
      </c>
      <c r="G111">
        <f>IF($F111="","",INDEX(배정!$C$2:$C$541,$F111))</f>
        <v/>
      </c>
    </row>
    <row r="112" ht="30" customHeight="1">
      <c r="A112" s="17" t="n"/>
      <c r="B112" s="15">
        <f>IF($F112="","",INDEX(배정!$B$2:$B$541,$F112)&amp;" ("&amp;INDEX(배정!$C$2:$C$541,$F112)&amp;")")</f>
        <v/>
      </c>
      <c r="C112" s="16">
        <f>IF($F112="","",INDEX(배정!$D$2:$D$541,$F112))</f>
        <v/>
      </c>
      <c r="D112" s="16">
        <f>IF($F112="","",INDEX(배정!$E$2:$E$541,$F112))</f>
        <v/>
      </c>
      <c r="E112" t="inlineStr">
        <is>
          <t>임승주</t>
        </is>
      </c>
      <c r="F112">
        <f>IF(ISNA(MATCH($E112&amp;"|"&amp;9,배정!$G$2:$G$541,0)),"",MATCH($E112&amp;"|"&amp;9,배정!$G$2:$G$541,0))</f>
        <v/>
      </c>
      <c r="G112">
        <f>IF($F112="","",INDEX(배정!$C$2:$C$541,$F112))</f>
        <v/>
      </c>
    </row>
    <row r="113" ht="30" customHeight="1">
      <c r="A113" s="18" t="n"/>
      <c r="B113" s="15">
        <f>IF($F113="","",INDEX(배정!$B$2:$B$541,$F113)&amp;" ("&amp;INDEX(배정!$C$2:$C$541,$F113)&amp;")")</f>
        <v/>
      </c>
      <c r="C113" s="16">
        <f>IF($F113="","",INDEX(배정!$D$2:$D$541,$F113))</f>
        <v/>
      </c>
      <c r="D113" s="16">
        <f>IF($F113="","",INDEX(배정!$E$2:$E$541,$F113))</f>
        <v/>
      </c>
      <c r="E113" t="inlineStr">
        <is>
          <t>임승주</t>
        </is>
      </c>
      <c r="F113">
        <f>IF(ISNA(MATCH($E113&amp;"|"&amp;10,배정!$G$2:$G$541,0)),"",MATCH($E113&amp;"|"&amp;10,배정!$G$2:$G$541,0))</f>
        <v/>
      </c>
      <c r="G113">
        <f>IF($F113="","",INDEX(배정!$C$2:$C$541,$F113))</f>
        <v/>
      </c>
    </row>
    <row r="114" ht="30" customHeight="1">
      <c r="A114" s="14" t="inlineStr">
        <is>
          <t>임창열 선임</t>
        </is>
      </c>
      <c r="B114" s="15">
        <f>IF($F114="","",INDEX(배정!$B$2:$B$541,$F114)&amp;" ("&amp;INDEX(배정!$C$2:$C$541,$F114)&amp;")")</f>
        <v/>
      </c>
      <c r="C114" s="16">
        <f>IF($F114="","",INDEX(배정!$D$2:$D$541,$F114))</f>
        <v/>
      </c>
      <c r="D114" s="16">
        <f>IF($F114="","",INDEX(배정!$E$2:$E$541,$F114))</f>
        <v/>
      </c>
      <c r="E114" t="inlineStr">
        <is>
          <t>임창열</t>
        </is>
      </c>
      <c r="F114">
        <f>IF(ISNA(MATCH($E114&amp;"|"&amp;1,배정!$G$2:$G$541,0)),"",MATCH($E114&amp;"|"&amp;1,배정!$G$2:$G$541,0))</f>
        <v/>
      </c>
      <c r="G114">
        <f>IF($F114="","",INDEX(배정!$C$2:$C$541,$F114))</f>
        <v/>
      </c>
    </row>
    <row r="115" ht="30" customHeight="1">
      <c r="A115" s="17" t="n"/>
      <c r="B115" s="15">
        <f>IF($F115="","",INDEX(배정!$B$2:$B$541,$F115)&amp;" ("&amp;INDEX(배정!$C$2:$C$541,$F115)&amp;")")</f>
        <v/>
      </c>
      <c r="C115" s="16">
        <f>IF($F115="","",INDEX(배정!$D$2:$D$541,$F115))</f>
        <v/>
      </c>
      <c r="D115" s="16">
        <f>IF($F115="","",INDEX(배정!$E$2:$E$541,$F115))</f>
        <v/>
      </c>
      <c r="E115" t="inlineStr">
        <is>
          <t>임창열</t>
        </is>
      </c>
      <c r="F115">
        <f>IF(ISNA(MATCH($E115&amp;"|"&amp;2,배정!$G$2:$G$541,0)),"",MATCH($E115&amp;"|"&amp;2,배정!$G$2:$G$541,0))</f>
        <v/>
      </c>
      <c r="G115">
        <f>IF($F115="","",INDEX(배정!$C$2:$C$541,$F115))</f>
        <v/>
      </c>
    </row>
    <row r="116" ht="30" customHeight="1">
      <c r="A116" s="17" t="n"/>
      <c r="B116" s="15">
        <f>IF($F116="","",INDEX(배정!$B$2:$B$541,$F116)&amp;" ("&amp;INDEX(배정!$C$2:$C$541,$F116)&amp;")")</f>
        <v/>
      </c>
      <c r="C116" s="16">
        <f>IF($F116="","",INDEX(배정!$D$2:$D$541,$F116))</f>
        <v/>
      </c>
      <c r="D116" s="16">
        <f>IF($F116="","",INDEX(배정!$E$2:$E$541,$F116))</f>
        <v/>
      </c>
      <c r="E116" t="inlineStr">
        <is>
          <t>임창열</t>
        </is>
      </c>
      <c r="F116">
        <f>IF(ISNA(MATCH($E116&amp;"|"&amp;3,배정!$G$2:$G$541,0)),"",MATCH($E116&amp;"|"&amp;3,배정!$G$2:$G$541,0))</f>
        <v/>
      </c>
      <c r="G116">
        <f>IF($F116="","",INDEX(배정!$C$2:$C$541,$F116))</f>
        <v/>
      </c>
    </row>
    <row r="117" ht="30" customHeight="1">
      <c r="A117" s="17" t="n"/>
      <c r="B117" s="15">
        <f>IF($F117="","",INDEX(배정!$B$2:$B$541,$F117)&amp;" ("&amp;INDEX(배정!$C$2:$C$541,$F117)&amp;")")</f>
        <v/>
      </c>
      <c r="C117" s="16">
        <f>IF($F117="","",INDEX(배정!$D$2:$D$541,$F117))</f>
        <v/>
      </c>
      <c r="D117" s="16">
        <f>IF($F117="","",INDEX(배정!$E$2:$E$541,$F117))</f>
        <v/>
      </c>
      <c r="E117" t="inlineStr">
        <is>
          <t>임창열</t>
        </is>
      </c>
      <c r="F117">
        <f>IF(ISNA(MATCH($E117&amp;"|"&amp;4,배정!$G$2:$G$541,0)),"",MATCH($E117&amp;"|"&amp;4,배정!$G$2:$G$541,0))</f>
        <v/>
      </c>
      <c r="G117">
        <f>IF($F117="","",INDEX(배정!$C$2:$C$541,$F117))</f>
        <v/>
      </c>
    </row>
    <row r="118" ht="30" customHeight="1">
      <c r="A118" s="17" t="n"/>
      <c r="B118" s="15">
        <f>IF($F118="","",INDEX(배정!$B$2:$B$541,$F118)&amp;" ("&amp;INDEX(배정!$C$2:$C$541,$F118)&amp;")")</f>
        <v/>
      </c>
      <c r="C118" s="16">
        <f>IF($F118="","",INDEX(배정!$D$2:$D$541,$F118))</f>
        <v/>
      </c>
      <c r="D118" s="16">
        <f>IF($F118="","",INDEX(배정!$E$2:$E$541,$F118))</f>
        <v/>
      </c>
      <c r="E118" t="inlineStr">
        <is>
          <t>임창열</t>
        </is>
      </c>
      <c r="F118">
        <f>IF(ISNA(MATCH($E118&amp;"|"&amp;5,배정!$G$2:$G$541,0)),"",MATCH($E118&amp;"|"&amp;5,배정!$G$2:$G$541,0))</f>
        <v/>
      </c>
      <c r="G118">
        <f>IF($F118="","",INDEX(배정!$C$2:$C$541,$F118))</f>
        <v/>
      </c>
    </row>
    <row r="119" ht="30" customHeight="1">
      <c r="A119" s="17" t="n"/>
      <c r="B119" s="15">
        <f>IF($F119="","",INDEX(배정!$B$2:$B$541,$F119)&amp;" ("&amp;INDEX(배정!$C$2:$C$541,$F119)&amp;")")</f>
        <v/>
      </c>
      <c r="C119" s="16">
        <f>IF($F119="","",INDEX(배정!$D$2:$D$541,$F119))</f>
        <v/>
      </c>
      <c r="D119" s="16">
        <f>IF($F119="","",INDEX(배정!$E$2:$E$541,$F119))</f>
        <v/>
      </c>
      <c r="E119" t="inlineStr">
        <is>
          <t>임창열</t>
        </is>
      </c>
      <c r="F119">
        <f>IF(ISNA(MATCH($E119&amp;"|"&amp;6,배정!$G$2:$G$541,0)),"",MATCH($E119&amp;"|"&amp;6,배정!$G$2:$G$541,0))</f>
        <v/>
      </c>
      <c r="G119">
        <f>IF($F119="","",INDEX(배정!$C$2:$C$541,$F119))</f>
        <v/>
      </c>
    </row>
    <row r="120" ht="30" customHeight="1">
      <c r="A120" s="17" t="n"/>
      <c r="B120" s="15">
        <f>IF($F120="","",INDEX(배정!$B$2:$B$541,$F120)&amp;" ("&amp;INDEX(배정!$C$2:$C$541,$F120)&amp;")")</f>
        <v/>
      </c>
      <c r="C120" s="16">
        <f>IF($F120="","",INDEX(배정!$D$2:$D$541,$F120))</f>
        <v/>
      </c>
      <c r="D120" s="16">
        <f>IF($F120="","",INDEX(배정!$E$2:$E$541,$F120))</f>
        <v/>
      </c>
      <c r="E120" t="inlineStr">
        <is>
          <t>임창열</t>
        </is>
      </c>
      <c r="F120">
        <f>IF(ISNA(MATCH($E120&amp;"|"&amp;7,배정!$G$2:$G$541,0)),"",MATCH($E120&amp;"|"&amp;7,배정!$G$2:$G$541,0))</f>
        <v/>
      </c>
      <c r="G120">
        <f>IF($F120="","",INDEX(배정!$C$2:$C$541,$F120))</f>
        <v/>
      </c>
    </row>
    <row r="121" ht="30" customHeight="1">
      <c r="A121" s="17" t="n"/>
      <c r="B121" s="15">
        <f>IF($F121="","",INDEX(배정!$B$2:$B$541,$F121)&amp;" ("&amp;INDEX(배정!$C$2:$C$541,$F121)&amp;")")</f>
        <v/>
      </c>
      <c r="C121" s="16">
        <f>IF($F121="","",INDEX(배정!$D$2:$D$541,$F121))</f>
        <v/>
      </c>
      <c r="D121" s="16">
        <f>IF($F121="","",INDEX(배정!$E$2:$E$541,$F121))</f>
        <v/>
      </c>
      <c r="E121" t="inlineStr">
        <is>
          <t>임창열</t>
        </is>
      </c>
      <c r="F121">
        <f>IF(ISNA(MATCH($E121&amp;"|"&amp;8,배정!$G$2:$G$541,0)),"",MATCH($E121&amp;"|"&amp;8,배정!$G$2:$G$541,0))</f>
        <v/>
      </c>
      <c r="G121">
        <f>IF($F121="","",INDEX(배정!$C$2:$C$541,$F121))</f>
        <v/>
      </c>
    </row>
    <row r="122" ht="30" customHeight="1">
      <c r="A122" s="17" t="n"/>
      <c r="B122" s="15">
        <f>IF($F122="","",INDEX(배정!$B$2:$B$541,$F122)&amp;" ("&amp;INDEX(배정!$C$2:$C$541,$F122)&amp;")")</f>
        <v/>
      </c>
      <c r="C122" s="16">
        <f>IF($F122="","",INDEX(배정!$D$2:$D$541,$F122))</f>
        <v/>
      </c>
      <c r="D122" s="16">
        <f>IF($F122="","",INDEX(배정!$E$2:$E$541,$F122))</f>
        <v/>
      </c>
      <c r="E122" t="inlineStr">
        <is>
          <t>임창열</t>
        </is>
      </c>
      <c r="F122">
        <f>IF(ISNA(MATCH($E122&amp;"|"&amp;9,배정!$G$2:$G$541,0)),"",MATCH($E122&amp;"|"&amp;9,배정!$G$2:$G$541,0))</f>
        <v/>
      </c>
      <c r="G122">
        <f>IF($F122="","",INDEX(배정!$C$2:$C$541,$F122))</f>
        <v/>
      </c>
    </row>
    <row r="123" ht="30" customHeight="1">
      <c r="A123" s="18" t="n"/>
      <c r="B123" s="15">
        <f>IF($F123="","",INDEX(배정!$B$2:$B$541,$F123)&amp;" ("&amp;INDEX(배정!$C$2:$C$541,$F123)&amp;")")</f>
        <v/>
      </c>
      <c r="C123" s="16">
        <f>IF($F123="","",INDEX(배정!$D$2:$D$541,$F123))</f>
        <v/>
      </c>
      <c r="D123" s="16">
        <f>IF($F123="","",INDEX(배정!$E$2:$E$541,$F123))</f>
        <v/>
      </c>
      <c r="E123" t="inlineStr">
        <is>
          <t>임창열</t>
        </is>
      </c>
      <c r="F123">
        <f>IF(ISNA(MATCH($E123&amp;"|"&amp;10,배정!$G$2:$G$541,0)),"",MATCH($E123&amp;"|"&amp;10,배정!$G$2:$G$541,0))</f>
        <v/>
      </c>
      <c r="G123">
        <f>IF($F123="","",INDEX(배정!$C$2:$C$541,$F123))</f>
        <v/>
      </c>
    </row>
    <row r="124" ht="30" customHeight="1">
      <c r="A124" s="14" t="inlineStr">
        <is>
          <t>김수겸 프로</t>
        </is>
      </c>
      <c r="B124" s="15">
        <f>IF($F124="","",INDEX(배정!$B$2:$B$541,$F124)&amp;" ("&amp;INDEX(배정!$C$2:$C$541,$F124)&amp;")")</f>
        <v/>
      </c>
      <c r="C124" s="16">
        <f>IF($F124="","",INDEX(배정!$D$2:$D$541,$F124))</f>
        <v/>
      </c>
      <c r="D124" s="16">
        <f>IF($F124="","",INDEX(배정!$E$2:$E$541,$F124))</f>
        <v/>
      </c>
      <c r="E124" t="inlineStr">
        <is>
          <t>김수겸</t>
        </is>
      </c>
      <c r="F124">
        <f>IF(ISNA(MATCH($E124&amp;"|"&amp;1,배정!$G$2:$G$541,0)),"",MATCH($E124&amp;"|"&amp;1,배정!$G$2:$G$541,0))</f>
        <v/>
      </c>
      <c r="G124">
        <f>IF($F124="","",INDEX(배정!$C$2:$C$541,$F124))</f>
        <v/>
      </c>
    </row>
    <row r="125" ht="30" customHeight="1">
      <c r="A125" s="17" t="n"/>
      <c r="B125" s="15">
        <f>IF($F125="","",INDEX(배정!$B$2:$B$541,$F125)&amp;" ("&amp;INDEX(배정!$C$2:$C$541,$F125)&amp;")")</f>
        <v/>
      </c>
      <c r="C125" s="16">
        <f>IF($F125="","",INDEX(배정!$D$2:$D$541,$F125))</f>
        <v/>
      </c>
      <c r="D125" s="16">
        <f>IF($F125="","",INDEX(배정!$E$2:$E$541,$F125))</f>
        <v/>
      </c>
      <c r="E125" t="inlineStr">
        <is>
          <t>김수겸</t>
        </is>
      </c>
      <c r="F125">
        <f>IF(ISNA(MATCH($E125&amp;"|"&amp;2,배정!$G$2:$G$541,0)),"",MATCH($E125&amp;"|"&amp;2,배정!$G$2:$G$541,0))</f>
        <v/>
      </c>
      <c r="G125">
        <f>IF($F125="","",INDEX(배정!$C$2:$C$541,$F125))</f>
        <v/>
      </c>
    </row>
    <row r="126" ht="30" customHeight="1">
      <c r="A126" s="17" t="n"/>
      <c r="B126" s="15">
        <f>IF($F126="","",INDEX(배정!$B$2:$B$541,$F126)&amp;" ("&amp;INDEX(배정!$C$2:$C$541,$F126)&amp;")")</f>
        <v/>
      </c>
      <c r="C126" s="16">
        <f>IF($F126="","",INDEX(배정!$D$2:$D$541,$F126))</f>
        <v/>
      </c>
      <c r="D126" s="16">
        <f>IF($F126="","",INDEX(배정!$E$2:$E$541,$F126))</f>
        <v/>
      </c>
      <c r="E126" t="inlineStr">
        <is>
          <t>김수겸</t>
        </is>
      </c>
      <c r="F126">
        <f>IF(ISNA(MATCH($E126&amp;"|"&amp;3,배정!$G$2:$G$541,0)),"",MATCH($E126&amp;"|"&amp;3,배정!$G$2:$G$541,0))</f>
        <v/>
      </c>
      <c r="G126">
        <f>IF($F126="","",INDEX(배정!$C$2:$C$541,$F126))</f>
        <v/>
      </c>
    </row>
    <row r="127" ht="30" customHeight="1">
      <c r="A127" s="17" t="n"/>
      <c r="B127" s="15">
        <f>IF($F127="","",INDEX(배정!$B$2:$B$541,$F127)&amp;" ("&amp;INDEX(배정!$C$2:$C$541,$F127)&amp;")")</f>
        <v/>
      </c>
      <c r="C127" s="16">
        <f>IF($F127="","",INDEX(배정!$D$2:$D$541,$F127))</f>
        <v/>
      </c>
      <c r="D127" s="16">
        <f>IF($F127="","",INDEX(배정!$E$2:$E$541,$F127))</f>
        <v/>
      </c>
      <c r="E127" t="inlineStr">
        <is>
          <t>김수겸</t>
        </is>
      </c>
      <c r="F127">
        <f>IF(ISNA(MATCH($E127&amp;"|"&amp;4,배정!$G$2:$G$541,0)),"",MATCH($E127&amp;"|"&amp;4,배정!$G$2:$G$541,0))</f>
        <v/>
      </c>
      <c r="G127">
        <f>IF($F127="","",INDEX(배정!$C$2:$C$541,$F127))</f>
        <v/>
      </c>
    </row>
    <row r="128" ht="30" customHeight="1">
      <c r="A128" s="17" t="n"/>
      <c r="B128" s="15">
        <f>IF($F128="","",INDEX(배정!$B$2:$B$541,$F128)&amp;" ("&amp;INDEX(배정!$C$2:$C$541,$F128)&amp;")")</f>
        <v/>
      </c>
      <c r="C128" s="16">
        <f>IF($F128="","",INDEX(배정!$D$2:$D$541,$F128))</f>
        <v/>
      </c>
      <c r="D128" s="16">
        <f>IF($F128="","",INDEX(배정!$E$2:$E$541,$F128))</f>
        <v/>
      </c>
      <c r="E128" t="inlineStr">
        <is>
          <t>김수겸</t>
        </is>
      </c>
      <c r="F128">
        <f>IF(ISNA(MATCH($E128&amp;"|"&amp;5,배정!$G$2:$G$541,0)),"",MATCH($E128&amp;"|"&amp;5,배정!$G$2:$G$541,0))</f>
        <v/>
      </c>
      <c r="G128">
        <f>IF($F128="","",INDEX(배정!$C$2:$C$541,$F128))</f>
        <v/>
      </c>
    </row>
    <row r="129" ht="30" customHeight="1">
      <c r="A129" s="17" t="n"/>
      <c r="B129" s="15">
        <f>IF($F129="","",INDEX(배정!$B$2:$B$541,$F129)&amp;" ("&amp;INDEX(배정!$C$2:$C$541,$F129)&amp;")")</f>
        <v/>
      </c>
      <c r="C129" s="16">
        <f>IF($F129="","",INDEX(배정!$D$2:$D$541,$F129))</f>
        <v/>
      </c>
      <c r="D129" s="16">
        <f>IF($F129="","",INDEX(배정!$E$2:$E$541,$F129))</f>
        <v/>
      </c>
      <c r="E129" t="inlineStr">
        <is>
          <t>김수겸</t>
        </is>
      </c>
      <c r="F129">
        <f>IF(ISNA(MATCH($E129&amp;"|"&amp;6,배정!$G$2:$G$541,0)),"",MATCH($E129&amp;"|"&amp;6,배정!$G$2:$G$541,0))</f>
        <v/>
      </c>
      <c r="G129">
        <f>IF($F129="","",INDEX(배정!$C$2:$C$541,$F129))</f>
        <v/>
      </c>
    </row>
    <row r="130" ht="30" customHeight="1">
      <c r="A130" s="17" t="n"/>
      <c r="B130" s="15">
        <f>IF($F130="","",INDEX(배정!$B$2:$B$541,$F130)&amp;" ("&amp;INDEX(배정!$C$2:$C$541,$F130)&amp;")")</f>
        <v/>
      </c>
      <c r="C130" s="16">
        <f>IF($F130="","",INDEX(배정!$D$2:$D$541,$F130))</f>
        <v/>
      </c>
      <c r="D130" s="16">
        <f>IF($F130="","",INDEX(배정!$E$2:$E$541,$F130))</f>
        <v/>
      </c>
      <c r="E130" t="inlineStr">
        <is>
          <t>김수겸</t>
        </is>
      </c>
      <c r="F130">
        <f>IF(ISNA(MATCH($E130&amp;"|"&amp;7,배정!$G$2:$G$541,0)),"",MATCH($E130&amp;"|"&amp;7,배정!$G$2:$G$541,0))</f>
        <v/>
      </c>
      <c r="G130">
        <f>IF($F130="","",INDEX(배정!$C$2:$C$541,$F130))</f>
        <v/>
      </c>
    </row>
    <row r="131" ht="30" customHeight="1">
      <c r="A131" s="17" t="n"/>
      <c r="B131" s="15">
        <f>IF($F131="","",INDEX(배정!$B$2:$B$541,$F131)&amp;" ("&amp;INDEX(배정!$C$2:$C$541,$F131)&amp;")")</f>
        <v/>
      </c>
      <c r="C131" s="16">
        <f>IF($F131="","",INDEX(배정!$D$2:$D$541,$F131))</f>
        <v/>
      </c>
      <c r="D131" s="16">
        <f>IF($F131="","",INDEX(배정!$E$2:$E$541,$F131))</f>
        <v/>
      </c>
      <c r="E131" t="inlineStr">
        <is>
          <t>김수겸</t>
        </is>
      </c>
      <c r="F131">
        <f>IF(ISNA(MATCH($E131&amp;"|"&amp;8,배정!$G$2:$G$541,0)),"",MATCH($E131&amp;"|"&amp;8,배정!$G$2:$G$541,0))</f>
        <v/>
      </c>
      <c r="G131">
        <f>IF($F131="","",INDEX(배정!$C$2:$C$541,$F131))</f>
        <v/>
      </c>
    </row>
    <row r="132" ht="30" customHeight="1">
      <c r="A132" s="17" t="n"/>
      <c r="B132" s="15">
        <f>IF($F132="","",INDEX(배정!$B$2:$B$541,$F132)&amp;" ("&amp;INDEX(배정!$C$2:$C$541,$F132)&amp;")")</f>
        <v/>
      </c>
      <c r="C132" s="16">
        <f>IF($F132="","",INDEX(배정!$D$2:$D$541,$F132))</f>
        <v/>
      </c>
      <c r="D132" s="16">
        <f>IF($F132="","",INDEX(배정!$E$2:$E$541,$F132))</f>
        <v/>
      </c>
      <c r="E132" t="inlineStr">
        <is>
          <t>김수겸</t>
        </is>
      </c>
      <c r="F132">
        <f>IF(ISNA(MATCH($E132&amp;"|"&amp;9,배정!$G$2:$G$541,0)),"",MATCH($E132&amp;"|"&amp;9,배정!$G$2:$G$541,0))</f>
        <v/>
      </c>
      <c r="G132">
        <f>IF($F132="","",INDEX(배정!$C$2:$C$541,$F132))</f>
        <v/>
      </c>
    </row>
    <row r="133" ht="30" customHeight="1">
      <c r="A133" s="18" t="n"/>
      <c r="B133" s="15">
        <f>IF($F133="","",INDEX(배정!$B$2:$B$541,$F133)&amp;" ("&amp;INDEX(배정!$C$2:$C$541,$F133)&amp;")")</f>
        <v/>
      </c>
      <c r="C133" s="16">
        <f>IF($F133="","",INDEX(배정!$D$2:$D$541,$F133))</f>
        <v/>
      </c>
      <c r="D133" s="16">
        <f>IF($F133="","",INDEX(배정!$E$2:$E$541,$F133))</f>
        <v/>
      </c>
      <c r="E133" t="inlineStr">
        <is>
          <t>김수겸</t>
        </is>
      </c>
      <c r="F133">
        <f>IF(ISNA(MATCH($E133&amp;"|"&amp;10,배정!$G$2:$G$541,0)),"",MATCH($E133&amp;"|"&amp;10,배정!$G$2:$G$541,0))</f>
        <v/>
      </c>
      <c r="G133">
        <f>IF($F133="","",INDEX(배정!$C$2:$C$541,$F133))</f>
        <v/>
      </c>
    </row>
    <row r="134" ht="30" customHeight="1">
      <c r="A134" s="13" t="inlineStr">
        <is>
          <t>[ VIET QS (베트남 마감팀) ]</t>
        </is>
      </c>
      <c r="B134" s="3" t="n"/>
      <c r="C134" s="3" t="n"/>
      <c r="D134" s="3" t="n"/>
      <c r="E134" s="3" t="n"/>
      <c r="F134" s="3" t="n"/>
      <c r="G134" s="4" t="n"/>
    </row>
    <row r="135" ht="30" customHeight="1">
      <c r="A135" s="14" t="inlineStr">
        <is>
          <t>VIET 내부1팀</t>
        </is>
      </c>
      <c r="B135" s="15">
        <f>IF($F135="","",INDEX(배정!$B$2:$B$541,$F135)&amp;" ("&amp;INDEX(배정!$C$2:$C$541,$F135)&amp;")")</f>
        <v/>
      </c>
      <c r="C135" s="16">
        <f>IF($F135="","",INDEX(배정!$D$2:$D$541,$F135))</f>
        <v/>
      </c>
      <c r="D135" s="16">
        <f>IF($F135="","",INDEX(배정!$E$2:$E$541,$F135))</f>
        <v/>
      </c>
      <c r="E135" t="inlineStr">
        <is>
          <t>VIET 내부1팀</t>
        </is>
      </c>
      <c r="F135">
        <f>IF(ISNA(MATCH($E135&amp;"|"&amp;1,배정!$G$2:$G$541,0)),"",MATCH($E135&amp;"|"&amp;1,배정!$G$2:$G$541,0))</f>
        <v/>
      </c>
      <c r="G135">
        <f>IF($F135="","",INDEX(배정!$C$2:$C$541,$F135))</f>
        <v/>
      </c>
    </row>
    <row r="136" ht="30" customHeight="1">
      <c r="A136" s="17" t="n"/>
      <c r="B136" s="15">
        <f>IF($F136="","",INDEX(배정!$B$2:$B$541,$F136)&amp;" ("&amp;INDEX(배정!$C$2:$C$541,$F136)&amp;")")</f>
        <v/>
      </c>
      <c r="C136" s="16">
        <f>IF($F136="","",INDEX(배정!$D$2:$D$541,$F136))</f>
        <v/>
      </c>
      <c r="D136" s="16">
        <f>IF($F136="","",INDEX(배정!$E$2:$E$541,$F136))</f>
        <v/>
      </c>
      <c r="E136" t="inlineStr">
        <is>
          <t>VIET 내부1팀</t>
        </is>
      </c>
      <c r="F136">
        <f>IF(ISNA(MATCH($E136&amp;"|"&amp;2,배정!$G$2:$G$541,0)),"",MATCH($E136&amp;"|"&amp;2,배정!$G$2:$G$541,0))</f>
        <v/>
      </c>
      <c r="G136">
        <f>IF($F136="","",INDEX(배정!$C$2:$C$541,$F136))</f>
        <v/>
      </c>
    </row>
    <row r="137" ht="30" customHeight="1">
      <c r="A137" s="17" t="n"/>
      <c r="B137" s="15">
        <f>IF($F137="","",INDEX(배정!$B$2:$B$541,$F137)&amp;" ("&amp;INDEX(배정!$C$2:$C$541,$F137)&amp;")")</f>
        <v/>
      </c>
      <c r="C137" s="16">
        <f>IF($F137="","",INDEX(배정!$D$2:$D$541,$F137))</f>
        <v/>
      </c>
      <c r="D137" s="16">
        <f>IF($F137="","",INDEX(배정!$E$2:$E$541,$F137))</f>
        <v/>
      </c>
      <c r="E137" t="inlineStr">
        <is>
          <t>VIET 내부1팀</t>
        </is>
      </c>
      <c r="F137">
        <f>IF(ISNA(MATCH($E137&amp;"|"&amp;3,배정!$G$2:$G$541,0)),"",MATCH($E137&amp;"|"&amp;3,배정!$G$2:$G$541,0))</f>
        <v/>
      </c>
      <c r="G137">
        <f>IF($F137="","",INDEX(배정!$C$2:$C$541,$F137))</f>
        <v/>
      </c>
    </row>
    <row r="138" ht="30" customHeight="1">
      <c r="A138" s="17" t="n"/>
      <c r="B138" s="15">
        <f>IF($F138="","",INDEX(배정!$B$2:$B$541,$F138)&amp;" ("&amp;INDEX(배정!$C$2:$C$541,$F138)&amp;")")</f>
        <v/>
      </c>
      <c r="C138" s="16">
        <f>IF($F138="","",INDEX(배정!$D$2:$D$541,$F138))</f>
        <v/>
      </c>
      <c r="D138" s="16">
        <f>IF($F138="","",INDEX(배정!$E$2:$E$541,$F138))</f>
        <v/>
      </c>
      <c r="E138" t="inlineStr">
        <is>
          <t>VIET 내부1팀</t>
        </is>
      </c>
      <c r="F138">
        <f>IF(ISNA(MATCH($E138&amp;"|"&amp;4,배정!$G$2:$G$541,0)),"",MATCH($E138&amp;"|"&amp;4,배정!$G$2:$G$541,0))</f>
        <v/>
      </c>
      <c r="G138">
        <f>IF($F138="","",INDEX(배정!$C$2:$C$541,$F138))</f>
        <v/>
      </c>
    </row>
    <row r="139" ht="30" customHeight="1">
      <c r="A139" s="17" t="n"/>
      <c r="B139" s="15">
        <f>IF($F139="","",INDEX(배정!$B$2:$B$541,$F139)&amp;" ("&amp;INDEX(배정!$C$2:$C$541,$F139)&amp;")")</f>
        <v/>
      </c>
      <c r="C139" s="16">
        <f>IF($F139="","",INDEX(배정!$D$2:$D$541,$F139))</f>
        <v/>
      </c>
      <c r="D139" s="16">
        <f>IF($F139="","",INDEX(배정!$E$2:$E$541,$F139))</f>
        <v/>
      </c>
      <c r="E139" t="inlineStr">
        <is>
          <t>VIET 내부1팀</t>
        </is>
      </c>
      <c r="F139">
        <f>IF(ISNA(MATCH($E139&amp;"|"&amp;5,배정!$G$2:$G$541,0)),"",MATCH($E139&amp;"|"&amp;5,배정!$G$2:$G$541,0))</f>
        <v/>
      </c>
      <c r="G139">
        <f>IF($F139="","",INDEX(배정!$C$2:$C$541,$F139))</f>
        <v/>
      </c>
    </row>
    <row r="140" ht="30" customHeight="1">
      <c r="A140" s="17" t="n"/>
      <c r="B140" s="15">
        <f>IF($F140="","",INDEX(배정!$B$2:$B$541,$F140)&amp;" ("&amp;INDEX(배정!$C$2:$C$541,$F140)&amp;")")</f>
        <v/>
      </c>
      <c r="C140" s="16">
        <f>IF($F140="","",INDEX(배정!$D$2:$D$541,$F140))</f>
        <v/>
      </c>
      <c r="D140" s="16">
        <f>IF($F140="","",INDEX(배정!$E$2:$E$541,$F140))</f>
        <v/>
      </c>
      <c r="E140" t="inlineStr">
        <is>
          <t>VIET 내부1팀</t>
        </is>
      </c>
      <c r="F140">
        <f>IF(ISNA(MATCH($E140&amp;"|"&amp;6,배정!$G$2:$G$541,0)),"",MATCH($E140&amp;"|"&amp;6,배정!$G$2:$G$541,0))</f>
        <v/>
      </c>
      <c r="G140">
        <f>IF($F140="","",INDEX(배정!$C$2:$C$541,$F140))</f>
        <v/>
      </c>
    </row>
    <row r="141" ht="30" customHeight="1">
      <c r="A141" s="17" t="n"/>
      <c r="B141" s="15">
        <f>IF($F141="","",INDEX(배정!$B$2:$B$541,$F141)&amp;" ("&amp;INDEX(배정!$C$2:$C$541,$F141)&amp;")")</f>
        <v/>
      </c>
      <c r="C141" s="16">
        <f>IF($F141="","",INDEX(배정!$D$2:$D$541,$F141))</f>
        <v/>
      </c>
      <c r="D141" s="16">
        <f>IF($F141="","",INDEX(배정!$E$2:$E$541,$F141))</f>
        <v/>
      </c>
      <c r="E141" t="inlineStr">
        <is>
          <t>VIET 내부1팀</t>
        </is>
      </c>
      <c r="F141">
        <f>IF(ISNA(MATCH($E141&amp;"|"&amp;7,배정!$G$2:$G$541,0)),"",MATCH($E141&amp;"|"&amp;7,배정!$G$2:$G$541,0))</f>
        <v/>
      </c>
      <c r="G141">
        <f>IF($F141="","",INDEX(배정!$C$2:$C$541,$F141))</f>
        <v/>
      </c>
    </row>
    <row r="142" ht="30" customHeight="1">
      <c r="A142" s="17" t="n"/>
      <c r="B142" s="15">
        <f>IF($F142="","",INDEX(배정!$B$2:$B$541,$F142)&amp;" ("&amp;INDEX(배정!$C$2:$C$541,$F142)&amp;")")</f>
        <v/>
      </c>
      <c r="C142" s="16">
        <f>IF($F142="","",INDEX(배정!$D$2:$D$541,$F142))</f>
        <v/>
      </c>
      <c r="D142" s="16">
        <f>IF($F142="","",INDEX(배정!$E$2:$E$541,$F142))</f>
        <v/>
      </c>
      <c r="E142" t="inlineStr">
        <is>
          <t>VIET 내부1팀</t>
        </is>
      </c>
      <c r="F142">
        <f>IF(ISNA(MATCH($E142&amp;"|"&amp;8,배정!$G$2:$G$541,0)),"",MATCH($E142&amp;"|"&amp;8,배정!$G$2:$G$541,0))</f>
        <v/>
      </c>
      <c r="G142">
        <f>IF($F142="","",INDEX(배정!$C$2:$C$541,$F142))</f>
        <v/>
      </c>
    </row>
    <row r="143" ht="30" customHeight="1">
      <c r="A143" s="17" t="n"/>
      <c r="B143" s="15">
        <f>IF($F143="","",INDEX(배정!$B$2:$B$541,$F143)&amp;" ("&amp;INDEX(배정!$C$2:$C$541,$F143)&amp;")")</f>
        <v/>
      </c>
      <c r="C143" s="16">
        <f>IF($F143="","",INDEX(배정!$D$2:$D$541,$F143))</f>
        <v/>
      </c>
      <c r="D143" s="16">
        <f>IF($F143="","",INDEX(배정!$E$2:$E$541,$F143))</f>
        <v/>
      </c>
      <c r="E143" t="inlineStr">
        <is>
          <t>VIET 내부1팀</t>
        </is>
      </c>
      <c r="F143">
        <f>IF(ISNA(MATCH($E143&amp;"|"&amp;9,배정!$G$2:$G$541,0)),"",MATCH($E143&amp;"|"&amp;9,배정!$G$2:$G$541,0))</f>
        <v/>
      </c>
      <c r="G143">
        <f>IF($F143="","",INDEX(배정!$C$2:$C$541,$F143))</f>
        <v/>
      </c>
    </row>
    <row r="144" ht="30" customHeight="1">
      <c r="A144" s="18" t="n"/>
      <c r="B144" s="15">
        <f>IF($F144="","",INDEX(배정!$B$2:$B$541,$F144)&amp;" ("&amp;INDEX(배정!$C$2:$C$541,$F144)&amp;")")</f>
        <v/>
      </c>
      <c r="C144" s="16">
        <f>IF($F144="","",INDEX(배정!$D$2:$D$541,$F144))</f>
        <v/>
      </c>
      <c r="D144" s="16">
        <f>IF($F144="","",INDEX(배정!$E$2:$E$541,$F144))</f>
        <v/>
      </c>
      <c r="E144" t="inlineStr">
        <is>
          <t>VIET 내부1팀</t>
        </is>
      </c>
      <c r="F144">
        <f>IF(ISNA(MATCH($E144&amp;"|"&amp;10,배정!$G$2:$G$541,0)),"",MATCH($E144&amp;"|"&amp;10,배정!$G$2:$G$541,0))</f>
        <v/>
      </c>
      <c r="G144">
        <f>IF($F144="","",INDEX(배정!$C$2:$C$541,$F144))</f>
        <v/>
      </c>
    </row>
    <row r="145" ht="30" customHeight="1">
      <c r="A145" s="14" t="inlineStr">
        <is>
          <t>VIET 내부2팀</t>
        </is>
      </c>
      <c r="B145" s="15">
        <f>IF($F145="","",INDEX(배정!$B$2:$B$541,$F145)&amp;" ("&amp;INDEX(배정!$C$2:$C$541,$F145)&amp;")")</f>
        <v/>
      </c>
      <c r="C145" s="16">
        <f>IF($F145="","",INDEX(배정!$D$2:$D$541,$F145))</f>
        <v/>
      </c>
      <c r="D145" s="16">
        <f>IF($F145="","",INDEX(배정!$E$2:$E$541,$F145))</f>
        <v/>
      </c>
      <c r="E145" t="inlineStr">
        <is>
          <t>VIET 내부2팀</t>
        </is>
      </c>
      <c r="F145">
        <f>IF(ISNA(MATCH($E145&amp;"|"&amp;1,배정!$G$2:$G$541,0)),"",MATCH($E145&amp;"|"&amp;1,배정!$G$2:$G$541,0))</f>
        <v/>
      </c>
      <c r="G145">
        <f>IF($F145="","",INDEX(배정!$C$2:$C$541,$F145))</f>
        <v/>
      </c>
    </row>
    <row r="146" ht="30" customHeight="1">
      <c r="A146" s="17" t="n"/>
      <c r="B146" s="15">
        <f>IF($F146="","",INDEX(배정!$B$2:$B$541,$F146)&amp;" ("&amp;INDEX(배정!$C$2:$C$541,$F146)&amp;")")</f>
        <v/>
      </c>
      <c r="C146" s="16">
        <f>IF($F146="","",INDEX(배정!$D$2:$D$541,$F146))</f>
        <v/>
      </c>
      <c r="D146" s="16">
        <f>IF($F146="","",INDEX(배정!$E$2:$E$541,$F146))</f>
        <v/>
      </c>
      <c r="E146" t="inlineStr">
        <is>
          <t>VIET 내부2팀</t>
        </is>
      </c>
      <c r="F146">
        <f>IF(ISNA(MATCH($E146&amp;"|"&amp;2,배정!$G$2:$G$541,0)),"",MATCH($E146&amp;"|"&amp;2,배정!$G$2:$G$541,0))</f>
        <v/>
      </c>
      <c r="G146">
        <f>IF($F146="","",INDEX(배정!$C$2:$C$541,$F146))</f>
        <v/>
      </c>
    </row>
    <row r="147" ht="30" customHeight="1">
      <c r="A147" s="17" t="n"/>
      <c r="B147" s="15">
        <f>IF($F147="","",INDEX(배정!$B$2:$B$541,$F147)&amp;" ("&amp;INDEX(배정!$C$2:$C$541,$F147)&amp;")")</f>
        <v/>
      </c>
      <c r="C147" s="16">
        <f>IF($F147="","",INDEX(배정!$D$2:$D$541,$F147))</f>
        <v/>
      </c>
      <c r="D147" s="16">
        <f>IF($F147="","",INDEX(배정!$E$2:$E$541,$F147))</f>
        <v/>
      </c>
      <c r="E147" t="inlineStr">
        <is>
          <t>VIET 내부2팀</t>
        </is>
      </c>
      <c r="F147">
        <f>IF(ISNA(MATCH($E147&amp;"|"&amp;3,배정!$G$2:$G$541,0)),"",MATCH($E147&amp;"|"&amp;3,배정!$G$2:$G$541,0))</f>
        <v/>
      </c>
      <c r="G147">
        <f>IF($F147="","",INDEX(배정!$C$2:$C$541,$F147))</f>
        <v/>
      </c>
    </row>
    <row r="148" ht="30" customHeight="1">
      <c r="A148" s="17" t="n"/>
      <c r="B148" s="15">
        <f>IF($F148="","",INDEX(배정!$B$2:$B$541,$F148)&amp;" ("&amp;INDEX(배정!$C$2:$C$541,$F148)&amp;")")</f>
        <v/>
      </c>
      <c r="C148" s="16">
        <f>IF($F148="","",INDEX(배정!$D$2:$D$541,$F148))</f>
        <v/>
      </c>
      <c r="D148" s="16">
        <f>IF($F148="","",INDEX(배정!$E$2:$E$541,$F148))</f>
        <v/>
      </c>
      <c r="E148" t="inlineStr">
        <is>
          <t>VIET 내부2팀</t>
        </is>
      </c>
      <c r="F148">
        <f>IF(ISNA(MATCH($E148&amp;"|"&amp;4,배정!$G$2:$G$541,0)),"",MATCH($E148&amp;"|"&amp;4,배정!$G$2:$G$541,0))</f>
        <v/>
      </c>
      <c r="G148">
        <f>IF($F148="","",INDEX(배정!$C$2:$C$541,$F148))</f>
        <v/>
      </c>
    </row>
    <row r="149" ht="30" customHeight="1">
      <c r="A149" s="17" t="n"/>
      <c r="B149" s="15">
        <f>IF($F149="","",INDEX(배정!$B$2:$B$541,$F149)&amp;" ("&amp;INDEX(배정!$C$2:$C$541,$F149)&amp;")")</f>
        <v/>
      </c>
      <c r="C149" s="16">
        <f>IF($F149="","",INDEX(배정!$D$2:$D$541,$F149))</f>
        <v/>
      </c>
      <c r="D149" s="16">
        <f>IF($F149="","",INDEX(배정!$E$2:$E$541,$F149))</f>
        <v/>
      </c>
      <c r="E149" t="inlineStr">
        <is>
          <t>VIET 내부2팀</t>
        </is>
      </c>
      <c r="F149">
        <f>IF(ISNA(MATCH($E149&amp;"|"&amp;5,배정!$G$2:$G$541,0)),"",MATCH($E149&amp;"|"&amp;5,배정!$G$2:$G$541,0))</f>
        <v/>
      </c>
      <c r="G149">
        <f>IF($F149="","",INDEX(배정!$C$2:$C$541,$F149))</f>
        <v/>
      </c>
    </row>
    <row r="150" ht="30" customHeight="1">
      <c r="A150" s="17" t="n"/>
      <c r="B150" s="15">
        <f>IF($F150="","",INDEX(배정!$B$2:$B$541,$F150)&amp;" ("&amp;INDEX(배정!$C$2:$C$541,$F150)&amp;")")</f>
        <v/>
      </c>
      <c r="C150" s="16">
        <f>IF($F150="","",INDEX(배정!$D$2:$D$541,$F150))</f>
        <v/>
      </c>
      <c r="D150" s="16">
        <f>IF($F150="","",INDEX(배정!$E$2:$E$541,$F150))</f>
        <v/>
      </c>
      <c r="E150" t="inlineStr">
        <is>
          <t>VIET 내부2팀</t>
        </is>
      </c>
      <c r="F150">
        <f>IF(ISNA(MATCH($E150&amp;"|"&amp;6,배정!$G$2:$G$541,0)),"",MATCH($E150&amp;"|"&amp;6,배정!$G$2:$G$541,0))</f>
        <v/>
      </c>
      <c r="G150">
        <f>IF($F150="","",INDEX(배정!$C$2:$C$541,$F150))</f>
        <v/>
      </c>
    </row>
    <row r="151" ht="30" customHeight="1">
      <c r="A151" s="17" t="n"/>
      <c r="B151" s="15">
        <f>IF($F151="","",INDEX(배정!$B$2:$B$541,$F151)&amp;" ("&amp;INDEX(배정!$C$2:$C$541,$F151)&amp;")")</f>
        <v/>
      </c>
      <c r="C151" s="16">
        <f>IF($F151="","",INDEX(배정!$D$2:$D$541,$F151))</f>
        <v/>
      </c>
      <c r="D151" s="16">
        <f>IF($F151="","",INDEX(배정!$E$2:$E$541,$F151))</f>
        <v/>
      </c>
      <c r="E151" t="inlineStr">
        <is>
          <t>VIET 내부2팀</t>
        </is>
      </c>
      <c r="F151">
        <f>IF(ISNA(MATCH($E151&amp;"|"&amp;7,배정!$G$2:$G$541,0)),"",MATCH($E151&amp;"|"&amp;7,배정!$G$2:$G$541,0))</f>
        <v/>
      </c>
      <c r="G151">
        <f>IF($F151="","",INDEX(배정!$C$2:$C$541,$F151))</f>
        <v/>
      </c>
    </row>
    <row r="152" ht="30" customHeight="1">
      <c r="A152" s="17" t="n"/>
      <c r="B152" s="15">
        <f>IF($F152="","",INDEX(배정!$B$2:$B$541,$F152)&amp;" ("&amp;INDEX(배정!$C$2:$C$541,$F152)&amp;")")</f>
        <v/>
      </c>
      <c r="C152" s="16">
        <f>IF($F152="","",INDEX(배정!$D$2:$D$541,$F152))</f>
        <v/>
      </c>
      <c r="D152" s="16">
        <f>IF($F152="","",INDEX(배정!$E$2:$E$541,$F152))</f>
        <v/>
      </c>
      <c r="E152" t="inlineStr">
        <is>
          <t>VIET 내부2팀</t>
        </is>
      </c>
      <c r="F152">
        <f>IF(ISNA(MATCH($E152&amp;"|"&amp;8,배정!$G$2:$G$541,0)),"",MATCH($E152&amp;"|"&amp;8,배정!$G$2:$G$541,0))</f>
        <v/>
      </c>
      <c r="G152">
        <f>IF($F152="","",INDEX(배정!$C$2:$C$541,$F152))</f>
        <v/>
      </c>
    </row>
    <row r="153" ht="30" customHeight="1">
      <c r="A153" s="17" t="n"/>
      <c r="B153" s="15">
        <f>IF($F153="","",INDEX(배정!$B$2:$B$541,$F153)&amp;" ("&amp;INDEX(배정!$C$2:$C$541,$F153)&amp;")")</f>
        <v/>
      </c>
      <c r="C153" s="16">
        <f>IF($F153="","",INDEX(배정!$D$2:$D$541,$F153))</f>
        <v/>
      </c>
      <c r="D153" s="16">
        <f>IF($F153="","",INDEX(배정!$E$2:$E$541,$F153))</f>
        <v/>
      </c>
      <c r="E153" t="inlineStr">
        <is>
          <t>VIET 내부2팀</t>
        </is>
      </c>
      <c r="F153">
        <f>IF(ISNA(MATCH($E153&amp;"|"&amp;9,배정!$G$2:$G$541,0)),"",MATCH($E153&amp;"|"&amp;9,배정!$G$2:$G$541,0))</f>
        <v/>
      </c>
      <c r="G153">
        <f>IF($F153="","",INDEX(배정!$C$2:$C$541,$F153))</f>
        <v/>
      </c>
    </row>
    <row r="154" ht="30" customHeight="1">
      <c r="A154" s="18" t="n"/>
      <c r="B154" s="15">
        <f>IF($F154="","",INDEX(배정!$B$2:$B$541,$F154)&amp;" ("&amp;INDEX(배정!$C$2:$C$541,$F154)&amp;")")</f>
        <v/>
      </c>
      <c r="C154" s="16">
        <f>IF($F154="","",INDEX(배정!$D$2:$D$541,$F154))</f>
        <v/>
      </c>
      <c r="D154" s="16">
        <f>IF($F154="","",INDEX(배정!$E$2:$E$541,$F154))</f>
        <v/>
      </c>
      <c r="E154" t="inlineStr">
        <is>
          <t>VIET 내부2팀</t>
        </is>
      </c>
      <c r="F154">
        <f>IF(ISNA(MATCH($E154&amp;"|"&amp;10,배정!$G$2:$G$541,0)),"",MATCH($E154&amp;"|"&amp;10,배정!$G$2:$G$541,0))</f>
        <v/>
      </c>
      <c r="G154">
        <f>IF($F154="","",INDEX(배정!$C$2:$C$541,$F154))</f>
        <v/>
      </c>
    </row>
    <row r="155" ht="30" customHeight="1">
      <c r="A155" s="14" t="inlineStr">
        <is>
          <t>VIET 내부3팀</t>
        </is>
      </c>
      <c r="B155" s="15">
        <f>IF($F155="","",INDEX(배정!$B$2:$B$541,$F155)&amp;" ("&amp;INDEX(배정!$C$2:$C$541,$F155)&amp;")")</f>
        <v/>
      </c>
      <c r="C155" s="16">
        <f>IF($F155="","",INDEX(배정!$D$2:$D$541,$F155))</f>
        <v/>
      </c>
      <c r="D155" s="16">
        <f>IF($F155="","",INDEX(배정!$E$2:$E$541,$F155))</f>
        <v/>
      </c>
      <c r="E155" t="inlineStr">
        <is>
          <t>VIET 내부3팀</t>
        </is>
      </c>
      <c r="F155">
        <f>IF(ISNA(MATCH($E155&amp;"|"&amp;1,배정!$G$2:$G$541,0)),"",MATCH($E155&amp;"|"&amp;1,배정!$G$2:$G$541,0))</f>
        <v/>
      </c>
      <c r="G155">
        <f>IF($F155="","",INDEX(배정!$C$2:$C$541,$F155))</f>
        <v/>
      </c>
    </row>
    <row r="156" ht="30" customHeight="1">
      <c r="A156" s="17" t="n"/>
      <c r="B156" s="15">
        <f>IF($F156="","",INDEX(배정!$B$2:$B$541,$F156)&amp;" ("&amp;INDEX(배정!$C$2:$C$541,$F156)&amp;")")</f>
        <v/>
      </c>
      <c r="C156" s="16">
        <f>IF($F156="","",INDEX(배정!$D$2:$D$541,$F156))</f>
        <v/>
      </c>
      <c r="D156" s="16">
        <f>IF($F156="","",INDEX(배정!$E$2:$E$541,$F156))</f>
        <v/>
      </c>
      <c r="E156" t="inlineStr">
        <is>
          <t>VIET 내부3팀</t>
        </is>
      </c>
      <c r="F156">
        <f>IF(ISNA(MATCH($E156&amp;"|"&amp;2,배정!$G$2:$G$541,0)),"",MATCH($E156&amp;"|"&amp;2,배정!$G$2:$G$541,0))</f>
        <v/>
      </c>
      <c r="G156">
        <f>IF($F156="","",INDEX(배정!$C$2:$C$541,$F156))</f>
        <v/>
      </c>
    </row>
    <row r="157" ht="30" customHeight="1">
      <c r="A157" s="17" t="n"/>
      <c r="B157" s="15">
        <f>IF($F157="","",INDEX(배정!$B$2:$B$541,$F157)&amp;" ("&amp;INDEX(배정!$C$2:$C$541,$F157)&amp;")")</f>
        <v/>
      </c>
      <c r="C157" s="16">
        <f>IF($F157="","",INDEX(배정!$D$2:$D$541,$F157))</f>
        <v/>
      </c>
      <c r="D157" s="16">
        <f>IF($F157="","",INDEX(배정!$E$2:$E$541,$F157))</f>
        <v/>
      </c>
      <c r="E157" t="inlineStr">
        <is>
          <t>VIET 내부3팀</t>
        </is>
      </c>
      <c r="F157">
        <f>IF(ISNA(MATCH($E157&amp;"|"&amp;3,배정!$G$2:$G$541,0)),"",MATCH($E157&amp;"|"&amp;3,배정!$G$2:$G$541,0))</f>
        <v/>
      </c>
      <c r="G157">
        <f>IF($F157="","",INDEX(배정!$C$2:$C$541,$F157))</f>
        <v/>
      </c>
    </row>
    <row r="158" ht="30" customHeight="1">
      <c r="A158" s="17" t="n"/>
      <c r="B158" s="15">
        <f>IF($F158="","",INDEX(배정!$B$2:$B$541,$F158)&amp;" ("&amp;INDEX(배정!$C$2:$C$541,$F158)&amp;")")</f>
        <v/>
      </c>
      <c r="C158" s="16">
        <f>IF($F158="","",INDEX(배정!$D$2:$D$541,$F158))</f>
        <v/>
      </c>
      <c r="D158" s="16">
        <f>IF($F158="","",INDEX(배정!$E$2:$E$541,$F158))</f>
        <v/>
      </c>
      <c r="E158" t="inlineStr">
        <is>
          <t>VIET 내부3팀</t>
        </is>
      </c>
      <c r="F158">
        <f>IF(ISNA(MATCH($E158&amp;"|"&amp;4,배정!$G$2:$G$541,0)),"",MATCH($E158&amp;"|"&amp;4,배정!$G$2:$G$541,0))</f>
        <v/>
      </c>
      <c r="G158">
        <f>IF($F158="","",INDEX(배정!$C$2:$C$541,$F158))</f>
        <v/>
      </c>
    </row>
    <row r="159" ht="30" customHeight="1">
      <c r="A159" s="17" t="n"/>
      <c r="B159" s="15">
        <f>IF($F159="","",INDEX(배정!$B$2:$B$541,$F159)&amp;" ("&amp;INDEX(배정!$C$2:$C$541,$F159)&amp;")")</f>
        <v/>
      </c>
      <c r="C159" s="16">
        <f>IF($F159="","",INDEX(배정!$D$2:$D$541,$F159))</f>
        <v/>
      </c>
      <c r="D159" s="16">
        <f>IF($F159="","",INDEX(배정!$E$2:$E$541,$F159))</f>
        <v/>
      </c>
      <c r="E159" t="inlineStr">
        <is>
          <t>VIET 내부3팀</t>
        </is>
      </c>
      <c r="F159">
        <f>IF(ISNA(MATCH($E159&amp;"|"&amp;5,배정!$G$2:$G$541,0)),"",MATCH($E159&amp;"|"&amp;5,배정!$G$2:$G$541,0))</f>
        <v/>
      </c>
      <c r="G159">
        <f>IF($F159="","",INDEX(배정!$C$2:$C$541,$F159))</f>
        <v/>
      </c>
    </row>
    <row r="160" ht="30" customHeight="1">
      <c r="A160" s="17" t="n"/>
      <c r="B160" s="15">
        <f>IF($F160="","",INDEX(배정!$B$2:$B$541,$F160)&amp;" ("&amp;INDEX(배정!$C$2:$C$541,$F160)&amp;")")</f>
        <v/>
      </c>
      <c r="C160" s="16">
        <f>IF($F160="","",INDEX(배정!$D$2:$D$541,$F160))</f>
        <v/>
      </c>
      <c r="D160" s="16">
        <f>IF($F160="","",INDEX(배정!$E$2:$E$541,$F160))</f>
        <v/>
      </c>
      <c r="E160" t="inlineStr">
        <is>
          <t>VIET 내부3팀</t>
        </is>
      </c>
      <c r="F160">
        <f>IF(ISNA(MATCH($E160&amp;"|"&amp;6,배정!$G$2:$G$541,0)),"",MATCH($E160&amp;"|"&amp;6,배정!$G$2:$G$541,0))</f>
        <v/>
      </c>
      <c r="G160">
        <f>IF($F160="","",INDEX(배정!$C$2:$C$541,$F160))</f>
        <v/>
      </c>
    </row>
    <row r="161" ht="30" customHeight="1">
      <c r="A161" s="17" t="n"/>
      <c r="B161" s="15">
        <f>IF($F161="","",INDEX(배정!$B$2:$B$541,$F161)&amp;" ("&amp;INDEX(배정!$C$2:$C$541,$F161)&amp;")")</f>
        <v/>
      </c>
      <c r="C161" s="16">
        <f>IF($F161="","",INDEX(배정!$D$2:$D$541,$F161))</f>
        <v/>
      </c>
      <c r="D161" s="16">
        <f>IF($F161="","",INDEX(배정!$E$2:$E$541,$F161))</f>
        <v/>
      </c>
      <c r="E161" t="inlineStr">
        <is>
          <t>VIET 내부3팀</t>
        </is>
      </c>
      <c r="F161">
        <f>IF(ISNA(MATCH($E161&amp;"|"&amp;7,배정!$G$2:$G$541,0)),"",MATCH($E161&amp;"|"&amp;7,배정!$G$2:$G$541,0))</f>
        <v/>
      </c>
      <c r="G161">
        <f>IF($F161="","",INDEX(배정!$C$2:$C$541,$F161))</f>
        <v/>
      </c>
    </row>
    <row r="162" ht="30" customHeight="1">
      <c r="A162" s="17" t="n"/>
      <c r="B162" s="15">
        <f>IF($F162="","",INDEX(배정!$B$2:$B$541,$F162)&amp;" ("&amp;INDEX(배정!$C$2:$C$541,$F162)&amp;")")</f>
        <v/>
      </c>
      <c r="C162" s="16">
        <f>IF($F162="","",INDEX(배정!$D$2:$D$541,$F162))</f>
        <v/>
      </c>
      <c r="D162" s="16">
        <f>IF($F162="","",INDEX(배정!$E$2:$E$541,$F162))</f>
        <v/>
      </c>
      <c r="E162" t="inlineStr">
        <is>
          <t>VIET 내부3팀</t>
        </is>
      </c>
      <c r="F162">
        <f>IF(ISNA(MATCH($E162&amp;"|"&amp;8,배정!$G$2:$G$541,0)),"",MATCH($E162&amp;"|"&amp;8,배정!$G$2:$G$541,0))</f>
        <v/>
      </c>
      <c r="G162">
        <f>IF($F162="","",INDEX(배정!$C$2:$C$541,$F162))</f>
        <v/>
      </c>
    </row>
    <row r="163" ht="30" customHeight="1">
      <c r="A163" s="17" t="n"/>
      <c r="B163" s="15">
        <f>IF($F163="","",INDEX(배정!$B$2:$B$541,$F163)&amp;" ("&amp;INDEX(배정!$C$2:$C$541,$F163)&amp;")")</f>
        <v/>
      </c>
      <c r="C163" s="16">
        <f>IF($F163="","",INDEX(배정!$D$2:$D$541,$F163))</f>
        <v/>
      </c>
      <c r="D163" s="16">
        <f>IF($F163="","",INDEX(배정!$E$2:$E$541,$F163))</f>
        <v/>
      </c>
      <c r="E163" t="inlineStr">
        <is>
          <t>VIET 내부3팀</t>
        </is>
      </c>
      <c r="F163">
        <f>IF(ISNA(MATCH($E163&amp;"|"&amp;9,배정!$G$2:$G$541,0)),"",MATCH($E163&amp;"|"&amp;9,배정!$G$2:$G$541,0))</f>
        <v/>
      </c>
      <c r="G163">
        <f>IF($F163="","",INDEX(배정!$C$2:$C$541,$F163))</f>
        <v/>
      </c>
    </row>
    <row r="164" ht="30" customHeight="1">
      <c r="A164" s="18" t="n"/>
      <c r="B164" s="15">
        <f>IF($F164="","",INDEX(배정!$B$2:$B$541,$F164)&amp;" ("&amp;INDEX(배정!$C$2:$C$541,$F164)&amp;")")</f>
        <v/>
      </c>
      <c r="C164" s="16">
        <f>IF($F164="","",INDEX(배정!$D$2:$D$541,$F164))</f>
        <v/>
      </c>
      <c r="D164" s="16">
        <f>IF($F164="","",INDEX(배정!$E$2:$E$541,$F164))</f>
        <v/>
      </c>
      <c r="E164" t="inlineStr">
        <is>
          <t>VIET 내부3팀</t>
        </is>
      </c>
      <c r="F164">
        <f>IF(ISNA(MATCH($E164&amp;"|"&amp;10,배정!$G$2:$G$541,0)),"",MATCH($E164&amp;"|"&amp;10,배정!$G$2:$G$541,0))</f>
        <v/>
      </c>
      <c r="G164">
        <f>IF($F164="","",INDEX(배정!$C$2:$C$541,$F164))</f>
        <v/>
      </c>
    </row>
    <row r="165" ht="30" customHeight="1">
      <c r="A165" s="14" t="inlineStr">
        <is>
          <t>VIET 외부팀</t>
        </is>
      </c>
      <c r="B165" s="15">
        <f>IF($F165="","",INDEX(배정!$B$2:$B$541,$F165)&amp;" ("&amp;INDEX(배정!$C$2:$C$541,$F165)&amp;")")</f>
        <v/>
      </c>
      <c r="C165" s="16">
        <f>IF($F165="","",INDEX(배정!$D$2:$D$541,$F165))</f>
        <v/>
      </c>
      <c r="D165" s="16">
        <f>IF($F165="","",INDEX(배정!$E$2:$E$541,$F165))</f>
        <v/>
      </c>
      <c r="E165" t="inlineStr">
        <is>
          <t>VIET 외부팀</t>
        </is>
      </c>
      <c r="F165">
        <f>IF(ISNA(MATCH($E165&amp;"|"&amp;1,배정!$G$2:$G$541,0)),"",MATCH($E165&amp;"|"&amp;1,배정!$G$2:$G$541,0))</f>
        <v/>
      </c>
      <c r="G165">
        <f>IF($F165="","",INDEX(배정!$C$2:$C$541,$F165))</f>
        <v/>
      </c>
    </row>
    <row r="166" ht="30" customHeight="1">
      <c r="A166" s="17" t="n"/>
      <c r="B166" s="15">
        <f>IF($F166="","",INDEX(배정!$B$2:$B$541,$F166)&amp;" ("&amp;INDEX(배정!$C$2:$C$541,$F166)&amp;")")</f>
        <v/>
      </c>
      <c r="C166" s="16">
        <f>IF($F166="","",INDEX(배정!$D$2:$D$541,$F166))</f>
        <v/>
      </c>
      <c r="D166" s="16">
        <f>IF($F166="","",INDEX(배정!$E$2:$E$541,$F166))</f>
        <v/>
      </c>
      <c r="E166" t="inlineStr">
        <is>
          <t>VIET 외부팀</t>
        </is>
      </c>
      <c r="F166">
        <f>IF(ISNA(MATCH($E166&amp;"|"&amp;2,배정!$G$2:$G$541,0)),"",MATCH($E166&amp;"|"&amp;2,배정!$G$2:$G$541,0))</f>
        <v/>
      </c>
      <c r="G166">
        <f>IF($F166="","",INDEX(배정!$C$2:$C$541,$F166))</f>
        <v/>
      </c>
    </row>
    <row r="167" ht="30" customHeight="1">
      <c r="A167" s="17" t="n"/>
      <c r="B167" s="15">
        <f>IF($F167="","",INDEX(배정!$B$2:$B$541,$F167)&amp;" ("&amp;INDEX(배정!$C$2:$C$541,$F167)&amp;")")</f>
        <v/>
      </c>
      <c r="C167" s="16">
        <f>IF($F167="","",INDEX(배정!$D$2:$D$541,$F167))</f>
        <v/>
      </c>
      <c r="D167" s="16">
        <f>IF($F167="","",INDEX(배정!$E$2:$E$541,$F167))</f>
        <v/>
      </c>
      <c r="E167" t="inlineStr">
        <is>
          <t>VIET 외부팀</t>
        </is>
      </c>
      <c r="F167">
        <f>IF(ISNA(MATCH($E167&amp;"|"&amp;3,배정!$G$2:$G$541,0)),"",MATCH($E167&amp;"|"&amp;3,배정!$G$2:$G$541,0))</f>
        <v/>
      </c>
      <c r="G167">
        <f>IF($F167="","",INDEX(배정!$C$2:$C$541,$F167))</f>
        <v/>
      </c>
    </row>
    <row r="168" ht="30" customHeight="1">
      <c r="A168" s="17" t="n"/>
      <c r="B168" s="15">
        <f>IF($F168="","",INDEX(배정!$B$2:$B$541,$F168)&amp;" ("&amp;INDEX(배정!$C$2:$C$541,$F168)&amp;")")</f>
        <v/>
      </c>
      <c r="C168" s="16">
        <f>IF($F168="","",INDEX(배정!$D$2:$D$541,$F168))</f>
        <v/>
      </c>
      <c r="D168" s="16">
        <f>IF($F168="","",INDEX(배정!$E$2:$E$541,$F168))</f>
        <v/>
      </c>
      <c r="E168" t="inlineStr">
        <is>
          <t>VIET 외부팀</t>
        </is>
      </c>
      <c r="F168">
        <f>IF(ISNA(MATCH($E168&amp;"|"&amp;4,배정!$G$2:$G$541,0)),"",MATCH($E168&amp;"|"&amp;4,배정!$G$2:$G$541,0))</f>
        <v/>
      </c>
      <c r="G168">
        <f>IF($F168="","",INDEX(배정!$C$2:$C$541,$F168))</f>
        <v/>
      </c>
    </row>
    <row r="169" ht="30" customHeight="1">
      <c r="A169" s="17" t="n"/>
      <c r="B169" s="15">
        <f>IF($F169="","",INDEX(배정!$B$2:$B$541,$F169)&amp;" ("&amp;INDEX(배정!$C$2:$C$541,$F169)&amp;")")</f>
        <v/>
      </c>
      <c r="C169" s="16">
        <f>IF($F169="","",INDEX(배정!$D$2:$D$541,$F169))</f>
        <v/>
      </c>
      <c r="D169" s="16">
        <f>IF($F169="","",INDEX(배정!$E$2:$E$541,$F169))</f>
        <v/>
      </c>
      <c r="E169" t="inlineStr">
        <is>
          <t>VIET 외부팀</t>
        </is>
      </c>
      <c r="F169">
        <f>IF(ISNA(MATCH($E169&amp;"|"&amp;5,배정!$G$2:$G$541,0)),"",MATCH($E169&amp;"|"&amp;5,배정!$G$2:$G$541,0))</f>
        <v/>
      </c>
      <c r="G169">
        <f>IF($F169="","",INDEX(배정!$C$2:$C$541,$F169))</f>
        <v/>
      </c>
    </row>
    <row r="170" ht="30" customHeight="1">
      <c r="A170" s="17" t="n"/>
      <c r="B170" s="15">
        <f>IF($F170="","",INDEX(배정!$B$2:$B$541,$F170)&amp;" ("&amp;INDEX(배정!$C$2:$C$541,$F170)&amp;")")</f>
        <v/>
      </c>
      <c r="C170" s="16">
        <f>IF($F170="","",INDEX(배정!$D$2:$D$541,$F170))</f>
        <v/>
      </c>
      <c r="D170" s="16">
        <f>IF($F170="","",INDEX(배정!$E$2:$E$541,$F170))</f>
        <v/>
      </c>
      <c r="E170" t="inlineStr">
        <is>
          <t>VIET 외부팀</t>
        </is>
      </c>
      <c r="F170">
        <f>IF(ISNA(MATCH($E170&amp;"|"&amp;6,배정!$G$2:$G$541,0)),"",MATCH($E170&amp;"|"&amp;6,배정!$G$2:$G$541,0))</f>
        <v/>
      </c>
      <c r="G170">
        <f>IF($F170="","",INDEX(배정!$C$2:$C$541,$F170))</f>
        <v/>
      </c>
    </row>
    <row r="171" ht="30" customHeight="1">
      <c r="A171" s="17" t="n"/>
      <c r="B171" s="15">
        <f>IF($F171="","",INDEX(배정!$B$2:$B$541,$F171)&amp;" ("&amp;INDEX(배정!$C$2:$C$541,$F171)&amp;")")</f>
        <v/>
      </c>
      <c r="C171" s="16">
        <f>IF($F171="","",INDEX(배정!$D$2:$D$541,$F171))</f>
        <v/>
      </c>
      <c r="D171" s="16">
        <f>IF($F171="","",INDEX(배정!$E$2:$E$541,$F171))</f>
        <v/>
      </c>
      <c r="E171" t="inlineStr">
        <is>
          <t>VIET 외부팀</t>
        </is>
      </c>
      <c r="F171">
        <f>IF(ISNA(MATCH($E171&amp;"|"&amp;7,배정!$G$2:$G$541,0)),"",MATCH($E171&amp;"|"&amp;7,배정!$G$2:$G$541,0))</f>
        <v/>
      </c>
      <c r="G171">
        <f>IF($F171="","",INDEX(배정!$C$2:$C$541,$F171))</f>
        <v/>
      </c>
    </row>
    <row r="172" ht="30" customHeight="1">
      <c r="A172" s="17" t="n"/>
      <c r="B172" s="15">
        <f>IF($F172="","",INDEX(배정!$B$2:$B$541,$F172)&amp;" ("&amp;INDEX(배정!$C$2:$C$541,$F172)&amp;")")</f>
        <v/>
      </c>
      <c r="C172" s="16">
        <f>IF($F172="","",INDEX(배정!$D$2:$D$541,$F172))</f>
        <v/>
      </c>
      <c r="D172" s="16">
        <f>IF($F172="","",INDEX(배정!$E$2:$E$541,$F172))</f>
        <v/>
      </c>
      <c r="E172" t="inlineStr">
        <is>
          <t>VIET 외부팀</t>
        </is>
      </c>
      <c r="F172">
        <f>IF(ISNA(MATCH($E172&amp;"|"&amp;8,배정!$G$2:$G$541,0)),"",MATCH($E172&amp;"|"&amp;8,배정!$G$2:$G$541,0))</f>
        <v/>
      </c>
      <c r="G172">
        <f>IF($F172="","",INDEX(배정!$C$2:$C$541,$F172))</f>
        <v/>
      </c>
    </row>
    <row r="173" ht="30" customHeight="1">
      <c r="A173" s="17" t="n"/>
      <c r="B173" s="15">
        <f>IF($F173="","",INDEX(배정!$B$2:$B$541,$F173)&amp;" ("&amp;INDEX(배정!$C$2:$C$541,$F173)&amp;")")</f>
        <v/>
      </c>
      <c r="C173" s="16">
        <f>IF($F173="","",INDEX(배정!$D$2:$D$541,$F173))</f>
        <v/>
      </c>
      <c r="D173" s="16">
        <f>IF($F173="","",INDEX(배정!$E$2:$E$541,$F173))</f>
        <v/>
      </c>
      <c r="E173" t="inlineStr">
        <is>
          <t>VIET 외부팀</t>
        </is>
      </c>
      <c r="F173">
        <f>IF(ISNA(MATCH($E173&amp;"|"&amp;9,배정!$G$2:$G$541,0)),"",MATCH($E173&amp;"|"&amp;9,배정!$G$2:$G$541,0))</f>
        <v/>
      </c>
      <c r="G173">
        <f>IF($F173="","",INDEX(배정!$C$2:$C$541,$F173))</f>
        <v/>
      </c>
    </row>
    <row r="174" ht="30" customHeight="1">
      <c r="A174" s="18" t="n"/>
      <c r="B174" s="15">
        <f>IF($F174="","",INDEX(배정!$B$2:$B$541,$F174)&amp;" ("&amp;INDEX(배정!$C$2:$C$541,$F174)&amp;")")</f>
        <v/>
      </c>
      <c r="C174" s="16">
        <f>IF($F174="","",INDEX(배정!$D$2:$D$541,$F174))</f>
        <v/>
      </c>
      <c r="D174" s="16">
        <f>IF($F174="","",INDEX(배정!$E$2:$E$541,$F174))</f>
        <v/>
      </c>
      <c r="E174" t="inlineStr">
        <is>
          <t>VIET 외부팀</t>
        </is>
      </c>
      <c r="F174">
        <f>IF(ISNA(MATCH($E174&amp;"|"&amp;10,배정!$G$2:$G$541,0)),"",MATCH($E174&amp;"|"&amp;10,배정!$G$2:$G$541,0))</f>
        <v/>
      </c>
      <c r="G174">
        <f>IF($F174="","",INDEX(배정!$C$2:$C$541,$F174))</f>
        <v/>
      </c>
    </row>
    <row r="175" ht="30" customHeight="1">
      <c r="A175" s="14" t="inlineStr">
        <is>
          <t>VIET 창호팀</t>
        </is>
      </c>
      <c r="B175" s="15">
        <f>IF($F175="","",INDEX(배정!$B$2:$B$541,$F175)&amp;" ("&amp;INDEX(배정!$C$2:$C$541,$F175)&amp;")")</f>
        <v/>
      </c>
      <c r="C175" s="16">
        <f>IF($F175="","",INDEX(배정!$D$2:$D$541,$F175))</f>
        <v/>
      </c>
      <c r="D175" s="16">
        <f>IF($F175="","",INDEX(배정!$E$2:$E$541,$F175))</f>
        <v/>
      </c>
      <c r="E175" t="inlineStr">
        <is>
          <t>VIET 창호팀</t>
        </is>
      </c>
      <c r="F175">
        <f>IF(ISNA(MATCH($E175&amp;"|"&amp;1,배정!$G$2:$G$541,0)),"",MATCH($E175&amp;"|"&amp;1,배정!$G$2:$G$541,0))</f>
        <v/>
      </c>
      <c r="G175">
        <f>IF($F175="","",INDEX(배정!$C$2:$C$541,$F175))</f>
        <v/>
      </c>
    </row>
    <row r="176" ht="30" customHeight="1">
      <c r="A176" s="17" t="n"/>
      <c r="B176" s="15">
        <f>IF($F176="","",INDEX(배정!$B$2:$B$541,$F176)&amp;" ("&amp;INDEX(배정!$C$2:$C$541,$F176)&amp;")")</f>
        <v/>
      </c>
      <c r="C176" s="16">
        <f>IF($F176="","",INDEX(배정!$D$2:$D$541,$F176))</f>
        <v/>
      </c>
      <c r="D176" s="16">
        <f>IF($F176="","",INDEX(배정!$E$2:$E$541,$F176))</f>
        <v/>
      </c>
      <c r="E176" t="inlineStr">
        <is>
          <t>VIET 창호팀</t>
        </is>
      </c>
      <c r="F176">
        <f>IF(ISNA(MATCH($E176&amp;"|"&amp;2,배정!$G$2:$G$541,0)),"",MATCH($E176&amp;"|"&amp;2,배정!$G$2:$G$541,0))</f>
        <v/>
      </c>
      <c r="G176">
        <f>IF($F176="","",INDEX(배정!$C$2:$C$541,$F176))</f>
        <v/>
      </c>
    </row>
    <row r="177" ht="30" customHeight="1">
      <c r="A177" s="17" t="n"/>
      <c r="B177" s="15">
        <f>IF($F177="","",INDEX(배정!$B$2:$B$541,$F177)&amp;" ("&amp;INDEX(배정!$C$2:$C$541,$F177)&amp;")")</f>
        <v/>
      </c>
      <c r="C177" s="16">
        <f>IF($F177="","",INDEX(배정!$D$2:$D$541,$F177))</f>
        <v/>
      </c>
      <c r="D177" s="16">
        <f>IF($F177="","",INDEX(배정!$E$2:$E$541,$F177))</f>
        <v/>
      </c>
      <c r="E177" t="inlineStr">
        <is>
          <t>VIET 창호팀</t>
        </is>
      </c>
      <c r="F177">
        <f>IF(ISNA(MATCH($E177&amp;"|"&amp;3,배정!$G$2:$G$541,0)),"",MATCH($E177&amp;"|"&amp;3,배정!$G$2:$G$541,0))</f>
        <v/>
      </c>
      <c r="G177">
        <f>IF($F177="","",INDEX(배정!$C$2:$C$541,$F177))</f>
        <v/>
      </c>
    </row>
    <row r="178" ht="30" customHeight="1">
      <c r="A178" s="17" t="n"/>
      <c r="B178" s="15">
        <f>IF($F178="","",INDEX(배정!$B$2:$B$541,$F178)&amp;" ("&amp;INDEX(배정!$C$2:$C$541,$F178)&amp;")")</f>
        <v/>
      </c>
      <c r="C178" s="16">
        <f>IF($F178="","",INDEX(배정!$D$2:$D$541,$F178))</f>
        <v/>
      </c>
      <c r="D178" s="16">
        <f>IF($F178="","",INDEX(배정!$E$2:$E$541,$F178))</f>
        <v/>
      </c>
      <c r="E178" t="inlineStr">
        <is>
          <t>VIET 창호팀</t>
        </is>
      </c>
      <c r="F178">
        <f>IF(ISNA(MATCH($E178&amp;"|"&amp;4,배정!$G$2:$G$541,0)),"",MATCH($E178&amp;"|"&amp;4,배정!$G$2:$G$541,0))</f>
        <v/>
      </c>
      <c r="G178">
        <f>IF($F178="","",INDEX(배정!$C$2:$C$541,$F178))</f>
        <v/>
      </c>
    </row>
    <row r="179" ht="30" customHeight="1">
      <c r="A179" s="17" t="n"/>
      <c r="B179" s="15">
        <f>IF($F179="","",INDEX(배정!$B$2:$B$541,$F179)&amp;" ("&amp;INDEX(배정!$C$2:$C$541,$F179)&amp;")")</f>
        <v/>
      </c>
      <c r="C179" s="16">
        <f>IF($F179="","",INDEX(배정!$D$2:$D$541,$F179))</f>
        <v/>
      </c>
      <c r="D179" s="16">
        <f>IF($F179="","",INDEX(배정!$E$2:$E$541,$F179))</f>
        <v/>
      </c>
      <c r="E179" t="inlineStr">
        <is>
          <t>VIET 창호팀</t>
        </is>
      </c>
      <c r="F179">
        <f>IF(ISNA(MATCH($E179&amp;"|"&amp;5,배정!$G$2:$G$541,0)),"",MATCH($E179&amp;"|"&amp;5,배정!$G$2:$G$541,0))</f>
        <v/>
      </c>
      <c r="G179">
        <f>IF($F179="","",INDEX(배정!$C$2:$C$541,$F179))</f>
        <v/>
      </c>
    </row>
    <row r="180" ht="30" customHeight="1">
      <c r="A180" s="17" t="n"/>
      <c r="B180" s="15">
        <f>IF($F180="","",INDEX(배정!$B$2:$B$541,$F180)&amp;" ("&amp;INDEX(배정!$C$2:$C$541,$F180)&amp;")")</f>
        <v/>
      </c>
      <c r="C180" s="16">
        <f>IF($F180="","",INDEX(배정!$D$2:$D$541,$F180))</f>
        <v/>
      </c>
      <c r="D180" s="16">
        <f>IF($F180="","",INDEX(배정!$E$2:$E$541,$F180))</f>
        <v/>
      </c>
      <c r="E180" t="inlineStr">
        <is>
          <t>VIET 창호팀</t>
        </is>
      </c>
      <c r="F180">
        <f>IF(ISNA(MATCH($E180&amp;"|"&amp;6,배정!$G$2:$G$541,0)),"",MATCH($E180&amp;"|"&amp;6,배정!$G$2:$G$541,0))</f>
        <v/>
      </c>
      <c r="G180">
        <f>IF($F180="","",INDEX(배정!$C$2:$C$541,$F180))</f>
        <v/>
      </c>
    </row>
    <row r="181" ht="30" customHeight="1">
      <c r="A181" s="17" t="n"/>
      <c r="B181" s="15">
        <f>IF($F181="","",INDEX(배정!$B$2:$B$541,$F181)&amp;" ("&amp;INDEX(배정!$C$2:$C$541,$F181)&amp;")")</f>
        <v/>
      </c>
      <c r="C181" s="16">
        <f>IF($F181="","",INDEX(배정!$D$2:$D$541,$F181))</f>
        <v/>
      </c>
      <c r="D181" s="16">
        <f>IF($F181="","",INDEX(배정!$E$2:$E$541,$F181))</f>
        <v/>
      </c>
      <c r="E181" t="inlineStr">
        <is>
          <t>VIET 창호팀</t>
        </is>
      </c>
      <c r="F181">
        <f>IF(ISNA(MATCH($E181&amp;"|"&amp;7,배정!$G$2:$G$541,0)),"",MATCH($E181&amp;"|"&amp;7,배정!$G$2:$G$541,0))</f>
        <v/>
      </c>
      <c r="G181">
        <f>IF($F181="","",INDEX(배정!$C$2:$C$541,$F181))</f>
        <v/>
      </c>
    </row>
    <row r="182" ht="30" customHeight="1">
      <c r="A182" s="17" t="n"/>
      <c r="B182" s="15">
        <f>IF($F182="","",INDEX(배정!$B$2:$B$541,$F182)&amp;" ("&amp;INDEX(배정!$C$2:$C$541,$F182)&amp;")")</f>
        <v/>
      </c>
      <c r="C182" s="16">
        <f>IF($F182="","",INDEX(배정!$D$2:$D$541,$F182))</f>
        <v/>
      </c>
      <c r="D182" s="16">
        <f>IF($F182="","",INDEX(배정!$E$2:$E$541,$F182))</f>
        <v/>
      </c>
      <c r="E182" t="inlineStr">
        <is>
          <t>VIET 창호팀</t>
        </is>
      </c>
      <c r="F182">
        <f>IF(ISNA(MATCH($E182&amp;"|"&amp;8,배정!$G$2:$G$541,0)),"",MATCH($E182&amp;"|"&amp;8,배정!$G$2:$G$541,0))</f>
        <v/>
      </c>
      <c r="G182">
        <f>IF($F182="","",INDEX(배정!$C$2:$C$541,$F182))</f>
        <v/>
      </c>
    </row>
    <row r="183" ht="30" customHeight="1">
      <c r="A183" s="17" t="n"/>
      <c r="B183" s="15">
        <f>IF($F183="","",INDEX(배정!$B$2:$B$541,$F183)&amp;" ("&amp;INDEX(배정!$C$2:$C$541,$F183)&amp;")")</f>
        <v/>
      </c>
      <c r="C183" s="16">
        <f>IF($F183="","",INDEX(배정!$D$2:$D$541,$F183))</f>
        <v/>
      </c>
      <c r="D183" s="16">
        <f>IF($F183="","",INDEX(배정!$E$2:$E$541,$F183))</f>
        <v/>
      </c>
      <c r="E183" t="inlineStr">
        <is>
          <t>VIET 창호팀</t>
        </is>
      </c>
      <c r="F183">
        <f>IF(ISNA(MATCH($E183&amp;"|"&amp;9,배정!$G$2:$G$541,0)),"",MATCH($E183&amp;"|"&amp;9,배정!$G$2:$G$541,0))</f>
        <v/>
      </c>
      <c r="G183">
        <f>IF($F183="","",INDEX(배정!$C$2:$C$541,$F183))</f>
        <v/>
      </c>
    </row>
    <row r="184" ht="30" customHeight="1">
      <c r="A184" s="18" t="n"/>
      <c r="B184" s="15">
        <f>IF($F184="","",INDEX(배정!$B$2:$B$541,$F184)&amp;" ("&amp;INDEX(배정!$C$2:$C$541,$F184)&amp;")")</f>
        <v/>
      </c>
      <c r="C184" s="16">
        <f>IF($F184="","",INDEX(배정!$D$2:$D$541,$F184))</f>
        <v/>
      </c>
      <c r="D184" s="16">
        <f>IF($F184="","",INDEX(배정!$E$2:$E$541,$F184))</f>
        <v/>
      </c>
      <c r="E184" t="inlineStr">
        <is>
          <t>VIET 창호팀</t>
        </is>
      </c>
      <c r="F184">
        <f>IF(ISNA(MATCH($E184&amp;"|"&amp;10,배정!$G$2:$G$541,0)),"",MATCH($E184&amp;"|"&amp;10,배정!$G$2:$G$541,0))</f>
        <v/>
      </c>
      <c r="G184">
        <f>IF($F184="","",INDEX(배정!$C$2:$C$541,$F184))</f>
        <v/>
      </c>
    </row>
    <row r="185" ht="30" customHeight="1">
      <c r="A185" s="14" t="inlineStr">
        <is>
          <t>VIET 조적팀</t>
        </is>
      </c>
      <c r="B185" s="15">
        <f>IF($F185="","",INDEX(배정!$B$2:$B$541,$F185)&amp;" ("&amp;INDEX(배정!$C$2:$C$541,$F185)&amp;")")</f>
        <v/>
      </c>
      <c r="C185" s="16">
        <f>IF($F185="","",INDEX(배정!$D$2:$D$541,$F185))</f>
        <v/>
      </c>
      <c r="D185" s="16">
        <f>IF($F185="","",INDEX(배정!$E$2:$E$541,$F185))</f>
        <v/>
      </c>
      <c r="E185" t="inlineStr">
        <is>
          <t>VIET 조적팀</t>
        </is>
      </c>
      <c r="F185">
        <f>IF(ISNA(MATCH($E185&amp;"|"&amp;1,배정!$G$2:$G$541,0)),"",MATCH($E185&amp;"|"&amp;1,배정!$G$2:$G$541,0))</f>
        <v/>
      </c>
      <c r="G185">
        <f>IF($F185="","",INDEX(배정!$C$2:$C$541,$F185))</f>
        <v/>
      </c>
    </row>
    <row r="186" ht="30" customHeight="1">
      <c r="A186" s="17" t="n"/>
      <c r="B186" s="15">
        <f>IF($F186="","",INDEX(배정!$B$2:$B$541,$F186)&amp;" ("&amp;INDEX(배정!$C$2:$C$541,$F186)&amp;")")</f>
        <v/>
      </c>
      <c r="C186" s="16">
        <f>IF($F186="","",INDEX(배정!$D$2:$D$541,$F186))</f>
        <v/>
      </c>
      <c r="D186" s="16">
        <f>IF($F186="","",INDEX(배정!$E$2:$E$541,$F186))</f>
        <v/>
      </c>
      <c r="E186" t="inlineStr">
        <is>
          <t>VIET 조적팀</t>
        </is>
      </c>
      <c r="F186">
        <f>IF(ISNA(MATCH($E186&amp;"|"&amp;2,배정!$G$2:$G$541,0)),"",MATCH($E186&amp;"|"&amp;2,배정!$G$2:$G$541,0))</f>
        <v/>
      </c>
      <c r="G186">
        <f>IF($F186="","",INDEX(배정!$C$2:$C$541,$F186))</f>
        <v/>
      </c>
    </row>
    <row r="187" ht="30" customHeight="1">
      <c r="A187" s="17" t="n"/>
      <c r="B187" s="15">
        <f>IF($F187="","",INDEX(배정!$B$2:$B$541,$F187)&amp;" ("&amp;INDEX(배정!$C$2:$C$541,$F187)&amp;")")</f>
        <v/>
      </c>
      <c r="C187" s="16">
        <f>IF($F187="","",INDEX(배정!$D$2:$D$541,$F187))</f>
        <v/>
      </c>
      <c r="D187" s="16">
        <f>IF($F187="","",INDEX(배정!$E$2:$E$541,$F187))</f>
        <v/>
      </c>
      <c r="E187" t="inlineStr">
        <is>
          <t>VIET 조적팀</t>
        </is>
      </c>
      <c r="F187">
        <f>IF(ISNA(MATCH($E187&amp;"|"&amp;3,배정!$G$2:$G$541,0)),"",MATCH($E187&amp;"|"&amp;3,배정!$G$2:$G$541,0))</f>
        <v/>
      </c>
      <c r="G187">
        <f>IF($F187="","",INDEX(배정!$C$2:$C$541,$F187))</f>
        <v/>
      </c>
    </row>
    <row r="188" ht="30" customHeight="1">
      <c r="A188" s="17" t="n"/>
      <c r="B188" s="15">
        <f>IF($F188="","",INDEX(배정!$B$2:$B$541,$F188)&amp;" ("&amp;INDEX(배정!$C$2:$C$541,$F188)&amp;")")</f>
        <v/>
      </c>
      <c r="C188" s="16">
        <f>IF($F188="","",INDEX(배정!$D$2:$D$541,$F188))</f>
        <v/>
      </c>
      <c r="D188" s="16">
        <f>IF($F188="","",INDEX(배정!$E$2:$E$541,$F188))</f>
        <v/>
      </c>
      <c r="E188" t="inlineStr">
        <is>
          <t>VIET 조적팀</t>
        </is>
      </c>
      <c r="F188">
        <f>IF(ISNA(MATCH($E188&amp;"|"&amp;4,배정!$G$2:$G$541,0)),"",MATCH($E188&amp;"|"&amp;4,배정!$G$2:$G$541,0))</f>
        <v/>
      </c>
      <c r="G188">
        <f>IF($F188="","",INDEX(배정!$C$2:$C$541,$F188))</f>
        <v/>
      </c>
    </row>
    <row r="189" ht="30" customHeight="1">
      <c r="A189" s="17" t="n"/>
      <c r="B189" s="15">
        <f>IF($F189="","",INDEX(배정!$B$2:$B$541,$F189)&amp;" ("&amp;INDEX(배정!$C$2:$C$541,$F189)&amp;")")</f>
        <v/>
      </c>
      <c r="C189" s="16">
        <f>IF($F189="","",INDEX(배정!$D$2:$D$541,$F189))</f>
        <v/>
      </c>
      <c r="D189" s="16">
        <f>IF($F189="","",INDEX(배정!$E$2:$E$541,$F189))</f>
        <v/>
      </c>
      <c r="E189" t="inlineStr">
        <is>
          <t>VIET 조적팀</t>
        </is>
      </c>
      <c r="F189">
        <f>IF(ISNA(MATCH($E189&amp;"|"&amp;5,배정!$G$2:$G$541,0)),"",MATCH($E189&amp;"|"&amp;5,배정!$G$2:$G$541,0))</f>
        <v/>
      </c>
      <c r="G189">
        <f>IF($F189="","",INDEX(배정!$C$2:$C$541,$F189))</f>
        <v/>
      </c>
    </row>
    <row r="190" ht="30" customHeight="1">
      <c r="A190" s="17" t="n"/>
      <c r="B190" s="15">
        <f>IF($F190="","",INDEX(배정!$B$2:$B$541,$F190)&amp;" ("&amp;INDEX(배정!$C$2:$C$541,$F190)&amp;")")</f>
        <v/>
      </c>
      <c r="C190" s="16">
        <f>IF($F190="","",INDEX(배정!$D$2:$D$541,$F190))</f>
        <v/>
      </c>
      <c r="D190" s="16">
        <f>IF($F190="","",INDEX(배정!$E$2:$E$541,$F190))</f>
        <v/>
      </c>
      <c r="E190" t="inlineStr">
        <is>
          <t>VIET 조적팀</t>
        </is>
      </c>
      <c r="F190">
        <f>IF(ISNA(MATCH($E190&amp;"|"&amp;6,배정!$G$2:$G$541,0)),"",MATCH($E190&amp;"|"&amp;6,배정!$G$2:$G$541,0))</f>
        <v/>
      </c>
      <c r="G190">
        <f>IF($F190="","",INDEX(배정!$C$2:$C$541,$F190))</f>
        <v/>
      </c>
    </row>
    <row r="191" ht="30" customHeight="1">
      <c r="A191" s="17" t="n"/>
      <c r="B191" s="15">
        <f>IF($F191="","",INDEX(배정!$B$2:$B$541,$F191)&amp;" ("&amp;INDEX(배정!$C$2:$C$541,$F191)&amp;")")</f>
        <v/>
      </c>
      <c r="C191" s="16">
        <f>IF($F191="","",INDEX(배정!$D$2:$D$541,$F191))</f>
        <v/>
      </c>
      <c r="D191" s="16">
        <f>IF($F191="","",INDEX(배정!$E$2:$E$541,$F191))</f>
        <v/>
      </c>
      <c r="E191" t="inlineStr">
        <is>
          <t>VIET 조적팀</t>
        </is>
      </c>
      <c r="F191">
        <f>IF(ISNA(MATCH($E191&amp;"|"&amp;7,배정!$G$2:$G$541,0)),"",MATCH($E191&amp;"|"&amp;7,배정!$G$2:$G$541,0))</f>
        <v/>
      </c>
      <c r="G191">
        <f>IF($F191="","",INDEX(배정!$C$2:$C$541,$F191))</f>
        <v/>
      </c>
    </row>
    <row r="192" ht="30" customHeight="1">
      <c r="A192" s="17" t="n"/>
      <c r="B192" s="15">
        <f>IF($F192="","",INDEX(배정!$B$2:$B$541,$F192)&amp;" ("&amp;INDEX(배정!$C$2:$C$541,$F192)&amp;")")</f>
        <v/>
      </c>
      <c r="C192" s="16">
        <f>IF($F192="","",INDEX(배정!$D$2:$D$541,$F192))</f>
        <v/>
      </c>
      <c r="D192" s="16">
        <f>IF($F192="","",INDEX(배정!$E$2:$E$541,$F192))</f>
        <v/>
      </c>
      <c r="E192" t="inlineStr">
        <is>
          <t>VIET 조적팀</t>
        </is>
      </c>
      <c r="F192">
        <f>IF(ISNA(MATCH($E192&amp;"|"&amp;8,배정!$G$2:$G$541,0)),"",MATCH($E192&amp;"|"&amp;8,배정!$G$2:$G$541,0))</f>
        <v/>
      </c>
      <c r="G192">
        <f>IF($F192="","",INDEX(배정!$C$2:$C$541,$F192))</f>
        <v/>
      </c>
    </row>
    <row r="193" ht="30" customHeight="1">
      <c r="A193" s="17" t="n"/>
      <c r="B193" s="15">
        <f>IF($F193="","",INDEX(배정!$B$2:$B$541,$F193)&amp;" ("&amp;INDEX(배정!$C$2:$C$541,$F193)&amp;")")</f>
        <v/>
      </c>
      <c r="C193" s="16">
        <f>IF($F193="","",INDEX(배정!$D$2:$D$541,$F193))</f>
        <v/>
      </c>
      <c r="D193" s="16">
        <f>IF($F193="","",INDEX(배정!$E$2:$E$541,$F193))</f>
        <v/>
      </c>
      <c r="E193" t="inlineStr">
        <is>
          <t>VIET 조적팀</t>
        </is>
      </c>
      <c r="F193">
        <f>IF(ISNA(MATCH($E193&amp;"|"&amp;9,배정!$G$2:$G$541,0)),"",MATCH($E193&amp;"|"&amp;9,배정!$G$2:$G$541,0))</f>
        <v/>
      </c>
      <c r="G193">
        <f>IF($F193="","",INDEX(배정!$C$2:$C$541,$F193))</f>
        <v/>
      </c>
    </row>
    <row r="194" ht="30" customHeight="1">
      <c r="A194" s="18" t="n"/>
      <c r="B194" s="15">
        <f>IF($F194="","",INDEX(배정!$B$2:$B$541,$F194)&amp;" ("&amp;INDEX(배정!$C$2:$C$541,$F194)&amp;")")</f>
        <v/>
      </c>
      <c r="C194" s="16">
        <f>IF($F194="","",INDEX(배정!$D$2:$D$541,$F194))</f>
        <v/>
      </c>
      <c r="D194" s="16">
        <f>IF($F194="","",INDEX(배정!$E$2:$E$541,$F194))</f>
        <v/>
      </c>
      <c r="E194" t="inlineStr">
        <is>
          <t>VIET 조적팀</t>
        </is>
      </c>
      <c r="F194">
        <f>IF(ISNA(MATCH($E194&amp;"|"&amp;10,배정!$G$2:$G$541,0)),"",MATCH($E194&amp;"|"&amp;10,배정!$G$2:$G$541,0))</f>
        <v/>
      </c>
      <c r="G194">
        <f>IF($F194="","",INDEX(배정!$C$2:$C$541,$F194))</f>
        <v/>
      </c>
    </row>
  </sheetData>
  <mergeCells count="33">
    <mergeCell ref="JU1:KY1"/>
    <mergeCell ref="KZ1:MC1"/>
    <mergeCell ref="A44:A53"/>
    <mergeCell ref="A34:A43"/>
    <mergeCell ref="FC1:GF1"/>
    <mergeCell ref="MD1:NH1"/>
    <mergeCell ref="HL1:IP1"/>
    <mergeCell ref="A134:G134"/>
    <mergeCell ref="A64:A73"/>
    <mergeCell ref="A155:A164"/>
    <mergeCell ref="A114:A123"/>
    <mergeCell ref="A24:A33"/>
    <mergeCell ref="A84:A93"/>
    <mergeCell ref="A94:A103"/>
    <mergeCell ref="BO1:CS1"/>
    <mergeCell ref="A124:A133"/>
    <mergeCell ref="GG1:HK1"/>
    <mergeCell ref="A54:A63"/>
    <mergeCell ref="H1:AL1"/>
    <mergeCell ref="IQ1:JT1"/>
    <mergeCell ref="DX1:FB1"/>
    <mergeCell ref="A74:A83"/>
    <mergeCell ref="A145:A154"/>
    <mergeCell ref="A185:A194"/>
    <mergeCell ref="A3:G3"/>
    <mergeCell ref="A135:A144"/>
    <mergeCell ref="A104:A113"/>
    <mergeCell ref="A4:A13"/>
    <mergeCell ref="A175:A184"/>
    <mergeCell ref="A14:A23"/>
    <mergeCell ref="A165:A174"/>
    <mergeCell ref="AM1:BN1"/>
    <mergeCell ref="CT1:DW1"/>
  </mergeCells>
  <conditionalFormatting sqref="H3:NH194">
    <cfRule type="expression" priority="1" dxfId="1">
      <formula>AND($C3&lt;&gt;"",H$2&gt;=$C3,H$2&lt;=$D3)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0" t="inlineStr">
        <is>
          <t>공종별 표준 투입일수(근무일). PM=0=전기간. 숫자만 바꾸면 달력 막대 길이 자동</t>
        </is>
      </c>
    </row>
    <row r="3" ht="30" customHeight="1">
      <c r="A3" s="2" t="inlineStr">
        <is>
          <t>공종</t>
        </is>
      </c>
      <c r="B3" s="2" t="inlineStr">
        <is>
          <t>표준일수</t>
        </is>
      </c>
    </row>
    <row r="4" ht="30" customHeight="1">
      <c r="A4" s="19" t="inlineStr">
        <is>
          <t>PM</t>
        </is>
      </c>
      <c r="B4" s="6" t="n">
        <v>0</v>
      </c>
    </row>
    <row r="5" ht="30" customHeight="1">
      <c r="A5" s="19" t="inlineStr">
        <is>
          <t>검토</t>
        </is>
      </c>
      <c r="B5" s="6" t="n">
        <v>3</v>
      </c>
    </row>
    <row r="6" ht="30" customHeight="1">
      <c r="A6" s="19" t="inlineStr">
        <is>
          <t>내역</t>
        </is>
      </c>
      <c r="B6" s="6" t="n">
        <v>3</v>
      </c>
    </row>
    <row r="7" ht="30" customHeight="1">
      <c r="A7" s="19" t="inlineStr">
        <is>
          <t>가설</t>
        </is>
      </c>
      <c r="B7" s="6" t="n">
        <v>3</v>
      </c>
    </row>
    <row r="8" ht="30" customHeight="1">
      <c r="A8" s="19" t="inlineStr">
        <is>
          <t>세대</t>
        </is>
      </c>
      <c r="B8" s="6" t="n">
        <v>5</v>
      </c>
    </row>
    <row r="9" ht="30" customHeight="1">
      <c r="A9" s="19" t="inlineStr">
        <is>
          <t>내부</t>
        </is>
      </c>
      <c r="B9" s="6" t="n">
        <v>7</v>
      </c>
    </row>
    <row r="10" ht="30" customHeight="1">
      <c r="A10" s="19" t="inlineStr">
        <is>
          <t>외부</t>
        </is>
      </c>
      <c r="B10" s="6" t="n">
        <v>5</v>
      </c>
    </row>
    <row r="11" ht="30" customHeight="1">
      <c r="A11" s="19" t="inlineStr">
        <is>
          <t>창호</t>
        </is>
      </c>
      <c r="B11" s="6" t="n">
        <v>4</v>
      </c>
    </row>
    <row r="12" ht="30" customHeight="1">
      <c r="A12" s="19" t="inlineStr">
        <is>
          <t>조적</t>
        </is>
      </c>
      <c r="B12" s="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8"/>
  <sheetViews>
    <sheetView workbookViewId="0">
      <selection activeCell="A1" sqref="A1"/>
    </sheetView>
  </sheetViews>
  <sheetFormatPr baseColWidth="8" defaultRowHeight="15"/>
  <cols>
    <col width="14" customWidth="1" min="2" max="2"/>
    <col width="78" customWidth="1" min="3" max="3"/>
  </cols>
  <sheetData>
    <row r="1">
      <c r="B1" s="1" t="inlineStr">
        <is>
          <t>사용법</t>
        </is>
      </c>
    </row>
    <row r="3">
      <c r="B3" s="20" t="inlineStr">
        <is>
          <t>입력</t>
        </is>
      </c>
      <c r="C3" s="21" t="inlineStr">
        <is>
          <t>[진행중] 시트에만 입력. 마감/구조/토목 + PM~조적 칸에 담당자 선택, 작업시작일·납품일 입력</t>
        </is>
      </c>
    </row>
    <row r="4">
      <c r="B4" s="20" t="inlineStr">
        <is>
          <t>자동연동</t>
        </is>
      </c>
      <c r="C4" s="21" t="inlineStr">
        <is>
          <t>입력 즉시 [업무 달력]에 직원별로 막대 자동 생성. 새로고침 불필요</t>
        </is>
      </c>
    </row>
    <row r="5">
      <c r="B5" s="20" t="inlineStr">
        <is>
          <t>공종 일수</t>
        </is>
      </c>
      <c r="C5" s="21" t="inlineStr">
        <is>
          <t>[설정] 시트 숫자로 공종별 투입일수 조정(PM=0=전기간)</t>
        </is>
      </c>
    </row>
    <row r="6">
      <c r="B6" s="20" t="inlineStr">
        <is>
          <t>줄 분리</t>
        </is>
      </c>
      <c r="C6" s="21" t="inlineStr">
        <is>
          <t>한 직원이 동시에 여러 공종이면 여러 줄에 표시(직원당 최대 10개)</t>
        </is>
      </c>
    </row>
    <row r="7">
      <c r="B7" s="20" t="inlineStr">
        <is>
          <t>완료 제외</t>
        </is>
      </c>
      <c r="C7" s="21" t="inlineStr">
        <is>
          <t>현재상태=완료면 달력에서 자동 제외</t>
        </is>
      </c>
    </row>
    <row r="8">
      <c r="B8" s="20" t="inlineStr">
        <is>
          <t>주의</t>
        </is>
      </c>
      <c r="C8" s="21" t="inlineStr">
        <is>
          <t>날짜는 반드시 날짜형식(2026-03-06). 배정 시트(숨김)는 계산용이니 건드리지 마세요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담당</t>
        </is>
      </c>
      <c r="B1" t="inlineStr">
        <is>
          <t>업무명</t>
        </is>
      </c>
      <c r="C1" t="inlineStr">
        <is>
          <t>공종</t>
        </is>
      </c>
      <c r="D1" t="inlineStr">
        <is>
          <t>시작</t>
        </is>
      </c>
      <c r="E1" t="inlineStr">
        <is>
          <t>종료</t>
        </is>
      </c>
      <c r="F1" t="inlineStr">
        <is>
          <t>순번</t>
        </is>
      </c>
      <c r="G1" t="inlineStr">
        <is>
          <t>키</t>
        </is>
      </c>
    </row>
    <row r="2">
      <c r="A2">
        <f>IF(AND(진행중!D5&lt;&gt;"",진행중!V5&lt;&gt;"",진행중!L5&lt;&gt;"",진행중!L5&lt;&gt;"X",진행중!AA5&lt;&gt;"완료"),진행중!L5,"")</f>
        <v/>
      </c>
      <c r="B2">
        <f>IF($A2="","",진행중!D5)</f>
        <v/>
      </c>
      <c r="C2" t="inlineStr">
        <is>
          <t>PM</t>
        </is>
      </c>
      <c r="D2" s="22">
        <f>IF($A2="","",진행중!V5)</f>
        <v/>
      </c>
      <c r="E2" s="22">
        <f>IF($A2="","",IF(VLOOKUP($C2,설정!$A$4:$B$12,2,0)=0,진행중!W5,MIN(WORKDAY(진행중!V5,VLOOKUP($C2,설정!$A$4:$B$12,2,0)-1),진행중!W5)))</f>
        <v/>
      </c>
      <c r="F2">
        <f>IF($A2="","",COUNTIF($A$2:$A2,$A2))</f>
        <v/>
      </c>
      <c r="G2">
        <f>IF($A2="","",$A2&amp;"|"&amp;$F2)</f>
        <v/>
      </c>
    </row>
    <row r="3">
      <c r="A3">
        <f>IF(AND(진행중!D5&lt;&gt;"",진행중!V5&lt;&gt;"",진행중!M5&lt;&gt;"",진행중!M5&lt;&gt;"X",진행중!AA5&lt;&gt;"완료"),진행중!M5,"")</f>
        <v/>
      </c>
      <c r="B3">
        <f>IF($A3="","",진행중!D5)</f>
        <v/>
      </c>
      <c r="C3" t="inlineStr">
        <is>
          <t>검토</t>
        </is>
      </c>
      <c r="D3" s="22">
        <f>IF($A3="","",진행중!V5)</f>
        <v/>
      </c>
      <c r="E3" s="22">
        <f>IF($A3="","",IF(VLOOKUP($C3,설정!$A$4:$B$12,2,0)=0,진행중!W5,MIN(WORKDAY(진행중!V5,VLOOKUP($C3,설정!$A$4:$B$12,2,0)-1),진행중!W5)))</f>
        <v/>
      </c>
      <c r="F3">
        <f>IF($A3="","",COUNTIF($A$2:$A3,$A3))</f>
        <v/>
      </c>
      <c r="G3">
        <f>IF($A3="","",$A3&amp;"|"&amp;$F3)</f>
        <v/>
      </c>
    </row>
    <row r="4">
      <c r="A4">
        <f>IF(AND(진행중!D5&lt;&gt;"",진행중!V5&lt;&gt;"",진행중!N5&lt;&gt;"",진행중!N5&lt;&gt;"X",진행중!AA5&lt;&gt;"완료"),진행중!N5,"")</f>
        <v/>
      </c>
      <c r="B4">
        <f>IF($A4="","",진행중!D5)</f>
        <v/>
      </c>
      <c r="C4" t="inlineStr">
        <is>
          <t>내역</t>
        </is>
      </c>
      <c r="D4" s="22">
        <f>IF($A4="","",진행중!V5)</f>
        <v/>
      </c>
      <c r="E4" s="22">
        <f>IF($A4="","",IF(VLOOKUP($C4,설정!$A$4:$B$12,2,0)=0,진행중!W5,MIN(WORKDAY(진행중!V5,VLOOKUP($C4,설정!$A$4:$B$12,2,0)-1),진행중!W5)))</f>
        <v/>
      </c>
      <c r="F4">
        <f>IF($A4="","",COUNTIF($A$2:$A4,$A4))</f>
        <v/>
      </c>
      <c r="G4">
        <f>IF($A4="","",$A4&amp;"|"&amp;$F4)</f>
        <v/>
      </c>
    </row>
    <row r="5">
      <c r="A5">
        <f>IF(AND(진행중!D5&lt;&gt;"",진행중!V5&lt;&gt;"",진행중!O5&lt;&gt;"",진행중!O5&lt;&gt;"X",진행중!AA5&lt;&gt;"완료"),진행중!O5,"")</f>
        <v/>
      </c>
      <c r="B5">
        <f>IF($A5="","",진행중!D5)</f>
        <v/>
      </c>
      <c r="C5" t="inlineStr">
        <is>
          <t>가설</t>
        </is>
      </c>
      <c r="D5" s="22">
        <f>IF($A5="","",진행중!V5)</f>
        <v/>
      </c>
      <c r="E5" s="22">
        <f>IF($A5="","",IF(VLOOKUP($C5,설정!$A$4:$B$12,2,0)=0,진행중!W5,MIN(WORKDAY(진행중!V5,VLOOKUP($C5,설정!$A$4:$B$12,2,0)-1),진행중!W5)))</f>
        <v/>
      </c>
      <c r="F5">
        <f>IF($A5="","",COUNTIF($A$2:$A5,$A5))</f>
        <v/>
      </c>
      <c r="G5">
        <f>IF($A5="","",$A5&amp;"|"&amp;$F5)</f>
        <v/>
      </c>
    </row>
    <row r="6">
      <c r="A6">
        <f>IF(AND(진행중!D5&lt;&gt;"",진행중!V5&lt;&gt;"",진행중!P5&lt;&gt;"",진행중!P5&lt;&gt;"X",진행중!AA5&lt;&gt;"완료"),진행중!P5,"")</f>
        <v/>
      </c>
      <c r="B6">
        <f>IF($A6="","",진행중!D5)</f>
        <v/>
      </c>
      <c r="C6" t="inlineStr">
        <is>
          <t>세대</t>
        </is>
      </c>
      <c r="D6" s="22">
        <f>IF($A6="","",진행중!V5)</f>
        <v/>
      </c>
      <c r="E6" s="22">
        <f>IF($A6="","",IF(VLOOKUP($C6,설정!$A$4:$B$12,2,0)=0,진행중!W5,MIN(WORKDAY(진행중!V5,VLOOKUP($C6,설정!$A$4:$B$12,2,0)-1),진행중!W5)))</f>
        <v/>
      </c>
      <c r="F6">
        <f>IF($A6="","",COUNTIF($A$2:$A6,$A6))</f>
        <v/>
      </c>
      <c r="G6">
        <f>IF($A6="","",$A6&amp;"|"&amp;$F6)</f>
        <v/>
      </c>
    </row>
    <row r="7">
      <c r="A7">
        <f>IF(AND(진행중!D5&lt;&gt;"",진행중!V5&lt;&gt;"",진행중!Q5&lt;&gt;"",진행중!Q5&lt;&gt;"X",진행중!AA5&lt;&gt;"완료"),진행중!Q5,"")</f>
        <v/>
      </c>
      <c r="B7">
        <f>IF($A7="","",진행중!D5)</f>
        <v/>
      </c>
      <c r="C7" t="inlineStr">
        <is>
          <t>내부</t>
        </is>
      </c>
      <c r="D7" s="22">
        <f>IF($A7="","",진행중!V5)</f>
        <v/>
      </c>
      <c r="E7" s="22">
        <f>IF($A7="","",IF(VLOOKUP($C7,설정!$A$4:$B$12,2,0)=0,진행중!W5,MIN(WORKDAY(진행중!V5,VLOOKUP($C7,설정!$A$4:$B$12,2,0)-1),진행중!W5)))</f>
        <v/>
      </c>
      <c r="F7">
        <f>IF($A7="","",COUNTIF($A$2:$A7,$A7))</f>
        <v/>
      </c>
      <c r="G7">
        <f>IF($A7="","",$A7&amp;"|"&amp;$F7)</f>
        <v/>
      </c>
    </row>
    <row r="8">
      <c r="A8">
        <f>IF(AND(진행중!D5&lt;&gt;"",진행중!V5&lt;&gt;"",진행중!R5&lt;&gt;"",진행중!R5&lt;&gt;"X",진행중!AA5&lt;&gt;"완료"),진행중!R5,"")</f>
        <v/>
      </c>
      <c r="B8">
        <f>IF($A8="","",진행중!D5)</f>
        <v/>
      </c>
      <c r="C8" t="inlineStr">
        <is>
          <t>외부</t>
        </is>
      </c>
      <c r="D8" s="22">
        <f>IF($A8="","",진행중!V5)</f>
        <v/>
      </c>
      <c r="E8" s="22">
        <f>IF($A8="","",IF(VLOOKUP($C8,설정!$A$4:$B$12,2,0)=0,진행중!W5,MIN(WORKDAY(진행중!V5,VLOOKUP($C8,설정!$A$4:$B$12,2,0)-1),진행중!W5)))</f>
        <v/>
      </c>
      <c r="F8">
        <f>IF($A8="","",COUNTIF($A$2:$A8,$A8))</f>
        <v/>
      </c>
      <c r="G8">
        <f>IF($A8="","",$A8&amp;"|"&amp;$F8)</f>
        <v/>
      </c>
    </row>
    <row r="9">
      <c r="A9">
        <f>IF(AND(진행중!D5&lt;&gt;"",진행중!V5&lt;&gt;"",진행중!S5&lt;&gt;"",진행중!S5&lt;&gt;"X",진행중!AA5&lt;&gt;"완료"),진행중!S5,"")</f>
        <v/>
      </c>
      <c r="B9">
        <f>IF($A9="","",진행중!D5)</f>
        <v/>
      </c>
      <c r="C9" t="inlineStr">
        <is>
          <t>창호</t>
        </is>
      </c>
      <c r="D9" s="22">
        <f>IF($A9="","",진행중!V5)</f>
        <v/>
      </c>
      <c r="E9" s="22">
        <f>IF($A9="","",IF(VLOOKUP($C9,설정!$A$4:$B$12,2,0)=0,진행중!W5,MIN(WORKDAY(진행중!V5,VLOOKUP($C9,설정!$A$4:$B$12,2,0)-1),진행중!W5)))</f>
        <v/>
      </c>
      <c r="F9">
        <f>IF($A9="","",COUNTIF($A$2:$A9,$A9))</f>
        <v/>
      </c>
      <c r="G9">
        <f>IF($A9="","",$A9&amp;"|"&amp;$F9)</f>
        <v/>
      </c>
    </row>
    <row r="10">
      <c r="A10">
        <f>IF(AND(진행중!D5&lt;&gt;"",진행중!V5&lt;&gt;"",진행중!T5&lt;&gt;"",진행중!T5&lt;&gt;"X",진행중!AA5&lt;&gt;"완료"),진행중!T5,"")</f>
        <v/>
      </c>
      <c r="B10">
        <f>IF($A10="","",진행중!D5)</f>
        <v/>
      </c>
      <c r="C10" t="inlineStr">
        <is>
          <t>조적</t>
        </is>
      </c>
      <c r="D10" s="22">
        <f>IF($A10="","",진행중!V5)</f>
        <v/>
      </c>
      <c r="E10" s="22">
        <f>IF($A10="","",IF(VLOOKUP($C10,설정!$A$4:$B$12,2,0)=0,진행중!W5,MIN(WORKDAY(진행중!V5,VLOOKUP($C10,설정!$A$4:$B$12,2,0)-1),진행중!W5)))</f>
        <v/>
      </c>
      <c r="F10">
        <f>IF($A10="","",COUNTIF($A$2:$A10,$A10))</f>
        <v/>
      </c>
      <c r="G10">
        <f>IF($A10="","",$A10&amp;"|"&amp;$F10)</f>
        <v/>
      </c>
    </row>
    <row r="11">
      <c r="A11">
        <f>IF(AND(진행중!D6&lt;&gt;"",진행중!V6&lt;&gt;"",진행중!L6&lt;&gt;"",진행중!L6&lt;&gt;"X",진행중!AA6&lt;&gt;"완료"),진행중!L6,"")</f>
        <v/>
      </c>
      <c r="B11">
        <f>IF($A11="","",진행중!D6)</f>
        <v/>
      </c>
      <c r="C11" t="inlineStr">
        <is>
          <t>PM</t>
        </is>
      </c>
      <c r="D11" s="22">
        <f>IF($A11="","",진행중!V6)</f>
        <v/>
      </c>
      <c r="E11" s="22">
        <f>IF($A11="","",IF(VLOOKUP($C11,설정!$A$4:$B$12,2,0)=0,진행중!W6,MIN(WORKDAY(진행중!V6,VLOOKUP($C11,설정!$A$4:$B$12,2,0)-1),진행중!W6)))</f>
        <v/>
      </c>
      <c r="F11">
        <f>IF($A11="","",COUNTIF($A$2:$A11,$A11))</f>
        <v/>
      </c>
      <c r="G11">
        <f>IF($A11="","",$A11&amp;"|"&amp;$F11)</f>
        <v/>
      </c>
    </row>
    <row r="12">
      <c r="A12">
        <f>IF(AND(진행중!D6&lt;&gt;"",진행중!V6&lt;&gt;"",진행중!M6&lt;&gt;"",진행중!M6&lt;&gt;"X",진행중!AA6&lt;&gt;"완료"),진행중!M6,"")</f>
        <v/>
      </c>
      <c r="B12">
        <f>IF($A12="","",진행중!D6)</f>
        <v/>
      </c>
      <c r="C12" t="inlineStr">
        <is>
          <t>검토</t>
        </is>
      </c>
      <c r="D12" s="22">
        <f>IF($A12="","",진행중!V6)</f>
        <v/>
      </c>
      <c r="E12" s="22">
        <f>IF($A12="","",IF(VLOOKUP($C12,설정!$A$4:$B$12,2,0)=0,진행중!W6,MIN(WORKDAY(진행중!V6,VLOOKUP($C12,설정!$A$4:$B$12,2,0)-1),진행중!W6)))</f>
        <v/>
      </c>
      <c r="F12">
        <f>IF($A12="","",COUNTIF($A$2:$A12,$A12))</f>
        <v/>
      </c>
      <c r="G12">
        <f>IF($A12="","",$A12&amp;"|"&amp;$F12)</f>
        <v/>
      </c>
    </row>
    <row r="13">
      <c r="A13">
        <f>IF(AND(진행중!D6&lt;&gt;"",진행중!V6&lt;&gt;"",진행중!N6&lt;&gt;"",진행중!N6&lt;&gt;"X",진행중!AA6&lt;&gt;"완료"),진행중!N6,"")</f>
        <v/>
      </c>
      <c r="B13">
        <f>IF($A13="","",진행중!D6)</f>
        <v/>
      </c>
      <c r="C13" t="inlineStr">
        <is>
          <t>내역</t>
        </is>
      </c>
      <c r="D13" s="22">
        <f>IF($A13="","",진행중!V6)</f>
        <v/>
      </c>
      <c r="E13" s="22">
        <f>IF($A13="","",IF(VLOOKUP($C13,설정!$A$4:$B$12,2,0)=0,진행중!W6,MIN(WORKDAY(진행중!V6,VLOOKUP($C13,설정!$A$4:$B$12,2,0)-1),진행중!W6)))</f>
        <v/>
      </c>
      <c r="F13">
        <f>IF($A13="","",COUNTIF($A$2:$A13,$A13))</f>
        <v/>
      </c>
      <c r="G13">
        <f>IF($A13="","",$A13&amp;"|"&amp;$F13)</f>
        <v/>
      </c>
    </row>
    <row r="14">
      <c r="A14">
        <f>IF(AND(진행중!D6&lt;&gt;"",진행중!V6&lt;&gt;"",진행중!O6&lt;&gt;"",진행중!O6&lt;&gt;"X",진행중!AA6&lt;&gt;"완료"),진행중!O6,"")</f>
        <v/>
      </c>
      <c r="B14">
        <f>IF($A14="","",진행중!D6)</f>
        <v/>
      </c>
      <c r="C14" t="inlineStr">
        <is>
          <t>가설</t>
        </is>
      </c>
      <c r="D14" s="22">
        <f>IF($A14="","",진행중!V6)</f>
        <v/>
      </c>
      <c r="E14" s="22">
        <f>IF($A14="","",IF(VLOOKUP($C14,설정!$A$4:$B$12,2,0)=0,진행중!W6,MIN(WORKDAY(진행중!V6,VLOOKUP($C14,설정!$A$4:$B$12,2,0)-1),진행중!W6)))</f>
        <v/>
      </c>
      <c r="F14">
        <f>IF($A14="","",COUNTIF($A$2:$A14,$A14))</f>
        <v/>
      </c>
      <c r="G14">
        <f>IF($A14="","",$A14&amp;"|"&amp;$F14)</f>
        <v/>
      </c>
    </row>
    <row r="15">
      <c r="A15">
        <f>IF(AND(진행중!D6&lt;&gt;"",진행중!V6&lt;&gt;"",진행중!P6&lt;&gt;"",진행중!P6&lt;&gt;"X",진행중!AA6&lt;&gt;"완료"),진행중!P6,"")</f>
        <v/>
      </c>
      <c r="B15">
        <f>IF($A15="","",진행중!D6)</f>
        <v/>
      </c>
      <c r="C15" t="inlineStr">
        <is>
          <t>세대</t>
        </is>
      </c>
      <c r="D15" s="22">
        <f>IF($A15="","",진행중!V6)</f>
        <v/>
      </c>
      <c r="E15" s="22">
        <f>IF($A15="","",IF(VLOOKUP($C15,설정!$A$4:$B$12,2,0)=0,진행중!W6,MIN(WORKDAY(진행중!V6,VLOOKUP($C15,설정!$A$4:$B$12,2,0)-1),진행중!W6)))</f>
        <v/>
      </c>
      <c r="F15">
        <f>IF($A15="","",COUNTIF($A$2:$A15,$A15))</f>
        <v/>
      </c>
      <c r="G15">
        <f>IF($A15="","",$A15&amp;"|"&amp;$F15)</f>
        <v/>
      </c>
    </row>
    <row r="16">
      <c r="A16">
        <f>IF(AND(진행중!D6&lt;&gt;"",진행중!V6&lt;&gt;"",진행중!Q6&lt;&gt;"",진행중!Q6&lt;&gt;"X",진행중!AA6&lt;&gt;"완료"),진행중!Q6,"")</f>
        <v/>
      </c>
      <c r="B16">
        <f>IF($A16="","",진행중!D6)</f>
        <v/>
      </c>
      <c r="C16" t="inlineStr">
        <is>
          <t>내부</t>
        </is>
      </c>
      <c r="D16" s="22">
        <f>IF($A16="","",진행중!V6)</f>
        <v/>
      </c>
      <c r="E16" s="22">
        <f>IF($A16="","",IF(VLOOKUP($C16,설정!$A$4:$B$12,2,0)=0,진행중!W6,MIN(WORKDAY(진행중!V6,VLOOKUP($C16,설정!$A$4:$B$12,2,0)-1),진행중!W6)))</f>
        <v/>
      </c>
      <c r="F16">
        <f>IF($A16="","",COUNTIF($A$2:$A16,$A16))</f>
        <v/>
      </c>
      <c r="G16">
        <f>IF($A16="","",$A16&amp;"|"&amp;$F16)</f>
        <v/>
      </c>
    </row>
    <row r="17">
      <c r="A17">
        <f>IF(AND(진행중!D6&lt;&gt;"",진행중!V6&lt;&gt;"",진행중!R6&lt;&gt;"",진행중!R6&lt;&gt;"X",진행중!AA6&lt;&gt;"완료"),진행중!R6,"")</f>
        <v/>
      </c>
      <c r="B17">
        <f>IF($A17="","",진행중!D6)</f>
        <v/>
      </c>
      <c r="C17" t="inlineStr">
        <is>
          <t>외부</t>
        </is>
      </c>
      <c r="D17" s="22">
        <f>IF($A17="","",진행중!V6)</f>
        <v/>
      </c>
      <c r="E17" s="22">
        <f>IF($A17="","",IF(VLOOKUP($C17,설정!$A$4:$B$12,2,0)=0,진행중!W6,MIN(WORKDAY(진행중!V6,VLOOKUP($C17,설정!$A$4:$B$12,2,0)-1),진행중!W6)))</f>
        <v/>
      </c>
      <c r="F17">
        <f>IF($A17="","",COUNTIF($A$2:$A17,$A17))</f>
        <v/>
      </c>
      <c r="G17">
        <f>IF($A17="","",$A17&amp;"|"&amp;$F17)</f>
        <v/>
      </c>
    </row>
    <row r="18">
      <c r="A18">
        <f>IF(AND(진행중!D6&lt;&gt;"",진행중!V6&lt;&gt;"",진행중!S6&lt;&gt;"",진행중!S6&lt;&gt;"X",진행중!AA6&lt;&gt;"완료"),진행중!S6,"")</f>
        <v/>
      </c>
      <c r="B18">
        <f>IF($A18="","",진행중!D6)</f>
        <v/>
      </c>
      <c r="C18" t="inlineStr">
        <is>
          <t>창호</t>
        </is>
      </c>
      <c r="D18" s="22">
        <f>IF($A18="","",진행중!V6)</f>
        <v/>
      </c>
      <c r="E18" s="22">
        <f>IF($A18="","",IF(VLOOKUP($C18,설정!$A$4:$B$12,2,0)=0,진행중!W6,MIN(WORKDAY(진행중!V6,VLOOKUP($C18,설정!$A$4:$B$12,2,0)-1),진행중!W6)))</f>
        <v/>
      </c>
      <c r="F18">
        <f>IF($A18="","",COUNTIF($A$2:$A18,$A18))</f>
        <v/>
      </c>
      <c r="G18">
        <f>IF($A18="","",$A18&amp;"|"&amp;$F18)</f>
        <v/>
      </c>
    </row>
    <row r="19">
      <c r="A19">
        <f>IF(AND(진행중!D6&lt;&gt;"",진행중!V6&lt;&gt;"",진행중!T6&lt;&gt;"",진행중!T6&lt;&gt;"X",진행중!AA6&lt;&gt;"완료"),진행중!T6,"")</f>
        <v/>
      </c>
      <c r="B19">
        <f>IF($A19="","",진행중!D6)</f>
        <v/>
      </c>
      <c r="C19" t="inlineStr">
        <is>
          <t>조적</t>
        </is>
      </c>
      <c r="D19" s="22">
        <f>IF($A19="","",진행중!V6)</f>
        <v/>
      </c>
      <c r="E19" s="22">
        <f>IF($A19="","",IF(VLOOKUP($C19,설정!$A$4:$B$12,2,0)=0,진행중!W6,MIN(WORKDAY(진행중!V6,VLOOKUP($C19,설정!$A$4:$B$12,2,0)-1),진행중!W6)))</f>
        <v/>
      </c>
      <c r="F19">
        <f>IF($A19="","",COUNTIF($A$2:$A19,$A19))</f>
        <v/>
      </c>
      <c r="G19">
        <f>IF($A19="","",$A19&amp;"|"&amp;$F19)</f>
        <v/>
      </c>
    </row>
    <row r="20">
      <c r="A20">
        <f>IF(AND(진행중!D7&lt;&gt;"",진행중!V7&lt;&gt;"",진행중!L7&lt;&gt;"",진행중!L7&lt;&gt;"X",진행중!AA7&lt;&gt;"완료"),진행중!L7,"")</f>
        <v/>
      </c>
      <c r="B20">
        <f>IF($A20="","",진행중!D7)</f>
        <v/>
      </c>
      <c r="C20" t="inlineStr">
        <is>
          <t>PM</t>
        </is>
      </c>
      <c r="D20" s="22">
        <f>IF($A20="","",진행중!V7)</f>
        <v/>
      </c>
      <c r="E20" s="22">
        <f>IF($A20="","",IF(VLOOKUP($C20,설정!$A$4:$B$12,2,0)=0,진행중!W7,MIN(WORKDAY(진행중!V7,VLOOKUP($C20,설정!$A$4:$B$12,2,0)-1),진행중!W7)))</f>
        <v/>
      </c>
      <c r="F20">
        <f>IF($A20="","",COUNTIF($A$2:$A20,$A20))</f>
        <v/>
      </c>
      <c r="G20">
        <f>IF($A20="","",$A20&amp;"|"&amp;$F20)</f>
        <v/>
      </c>
    </row>
    <row r="21">
      <c r="A21">
        <f>IF(AND(진행중!D7&lt;&gt;"",진행중!V7&lt;&gt;"",진행중!M7&lt;&gt;"",진행중!M7&lt;&gt;"X",진행중!AA7&lt;&gt;"완료"),진행중!M7,"")</f>
        <v/>
      </c>
      <c r="B21">
        <f>IF($A21="","",진행중!D7)</f>
        <v/>
      </c>
      <c r="C21" t="inlineStr">
        <is>
          <t>검토</t>
        </is>
      </c>
      <c r="D21" s="22">
        <f>IF($A21="","",진행중!V7)</f>
        <v/>
      </c>
      <c r="E21" s="22">
        <f>IF($A21="","",IF(VLOOKUP($C21,설정!$A$4:$B$12,2,0)=0,진행중!W7,MIN(WORKDAY(진행중!V7,VLOOKUP($C21,설정!$A$4:$B$12,2,0)-1),진행중!W7)))</f>
        <v/>
      </c>
      <c r="F21">
        <f>IF($A21="","",COUNTIF($A$2:$A21,$A21))</f>
        <v/>
      </c>
      <c r="G21">
        <f>IF($A21="","",$A21&amp;"|"&amp;$F21)</f>
        <v/>
      </c>
    </row>
    <row r="22">
      <c r="A22">
        <f>IF(AND(진행중!D7&lt;&gt;"",진행중!V7&lt;&gt;"",진행중!N7&lt;&gt;"",진행중!N7&lt;&gt;"X",진행중!AA7&lt;&gt;"완료"),진행중!N7,"")</f>
        <v/>
      </c>
      <c r="B22">
        <f>IF($A22="","",진행중!D7)</f>
        <v/>
      </c>
      <c r="C22" t="inlineStr">
        <is>
          <t>내역</t>
        </is>
      </c>
      <c r="D22" s="22">
        <f>IF($A22="","",진행중!V7)</f>
        <v/>
      </c>
      <c r="E22" s="22">
        <f>IF($A22="","",IF(VLOOKUP($C22,설정!$A$4:$B$12,2,0)=0,진행중!W7,MIN(WORKDAY(진행중!V7,VLOOKUP($C22,설정!$A$4:$B$12,2,0)-1),진행중!W7)))</f>
        <v/>
      </c>
      <c r="F22">
        <f>IF($A22="","",COUNTIF($A$2:$A22,$A22))</f>
        <v/>
      </c>
      <c r="G22">
        <f>IF($A22="","",$A22&amp;"|"&amp;$F22)</f>
        <v/>
      </c>
    </row>
    <row r="23">
      <c r="A23">
        <f>IF(AND(진행중!D7&lt;&gt;"",진행중!V7&lt;&gt;"",진행중!O7&lt;&gt;"",진행중!O7&lt;&gt;"X",진행중!AA7&lt;&gt;"완료"),진행중!O7,"")</f>
        <v/>
      </c>
      <c r="B23">
        <f>IF($A23="","",진행중!D7)</f>
        <v/>
      </c>
      <c r="C23" t="inlineStr">
        <is>
          <t>가설</t>
        </is>
      </c>
      <c r="D23" s="22">
        <f>IF($A23="","",진행중!V7)</f>
        <v/>
      </c>
      <c r="E23" s="22">
        <f>IF($A23="","",IF(VLOOKUP($C23,설정!$A$4:$B$12,2,0)=0,진행중!W7,MIN(WORKDAY(진행중!V7,VLOOKUP($C23,설정!$A$4:$B$12,2,0)-1),진행중!W7)))</f>
        <v/>
      </c>
      <c r="F23">
        <f>IF($A23="","",COUNTIF($A$2:$A23,$A23))</f>
        <v/>
      </c>
      <c r="G23">
        <f>IF($A23="","",$A23&amp;"|"&amp;$F23)</f>
        <v/>
      </c>
    </row>
    <row r="24">
      <c r="A24">
        <f>IF(AND(진행중!D7&lt;&gt;"",진행중!V7&lt;&gt;"",진행중!P7&lt;&gt;"",진행중!P7&lt;&gt;"X",진행중!AA7&lt;&gt;"완료"),진행중!P7,"")</f>
        <v/>
      </c>
      <c r="B24">
        <f>IF($A24="","",진행중!D7)</f>
        <v/>
      </c>
      <c r="C24" t="inlineStr">
        <is>
          <t>세대</t>
        </is>
      </c>
      <c r="D24" s="22">
        <f>IF($A24="","",진행중!V7)</f>
        <v/>
      </c>
      <c r="E24" s="22">
        <f>IF($A24="","",IF(VLOOKUP($C24,설정!$A$4:$B$12,2,0)=0,진행중!W7,MIN(WORKDAY(진행중!V7,VLOOKUP($C24,설정!$A$4:$B$12,2,0)-1),진행중!W7)))</f>
        <v/>
      </c>
      <c r="F24">
        <f>IF($A24="","",COUNTIF($A$2:$A24,$A24))</f>
        <v/>
      </c>
      <c r="G24">
        <f>IF($A24="","",$A24&amp;"|"&amp;$F24)</f>
        <v/>
      </c>
    </row>
    <row r="25">
      <c r="A25">
        <f>IF(AND(진행중!D7&lt;&gt;"",진행중!V7&lt;&gt;"",진행중!Q7&lt;&gt;"",진행중!Q7&lt;&gt;"X",진행중!AA7&lt;&gt;"완료"),진행중!Q7,"")</f>
        <v/>
      </c>
      <c r="B25">
        <f>IF($A25="","",진행중!D7)</f>
        <v/>
      </c>
      <c r="C25" t="inlineStr">
        <is>
          <t>내부</t>
        </is>
      </c>
      <c r="D25" s="22">
        <f>IF($A25="","",진행중!V7)</f>
        <v/>
      </c>
      <c r="E25" s="22">
        <f>IF($A25="","",IF(VLOOKUP($C25,설정!$A$4:$B$12,2,0)=0,진행중!W7,MIN(WORKDAY(진행중!V7,VLOOKUP($C25,설정!$A$4:$B$12,2,0)-1),진행중!W7)))</f>
        <v/>
      </c>
      <c r="F25">
        <f>IF($A25="","",COUNTIF($A$2:$A25,$A25))</f>
        <v/>
      </c>
      <c r="G25">
        <f>IF($A25="","",$A25&amp;"|"&amp;$F25)</f>
        <v/>
      </c>
    </row>
    <row r="26">
      <c r="A26">
        <f>IF(AND(진행중!D7&lt;&gt;"",진행중!V7&lt;&gt;"",진행중!R7&lt;&gt;"",진행중!R7&lt;&gt;"X",진행중!AA7&lt;&gt;"완료"),진행중!R7,"")</f>
        <v/>
      </c>
      <c r="B26">
        <f>IF($A26="","",진행중!D7)</f>
        <v/>
      </c>
      <c r="C26" t="inlineStr">
        <is>
          <t>외부</t>
        </is>
      </c>
      <c r="D26" s="22">
        <f>IF($A26="","",진행중!V7)</f>
        <v/>
      </c>
      <c r="E26" s="22">
        <f>IF($A26="","",IF(VLOOKUP($C26,설정!$A$4:$B$12,2,0)=0,진행중!W7,MIN(WORKDAY(진행중!V7,VLOOKUP($C26,설정!$A$4:$B$12,2,0)-1),진행중!W7)))</f>
        <v/>
      </c>
      <c r="F26">
        <f>IF($A26="","",COUNTIF($A$2:$A26,$A26))</f>
        <v/>
      </c>
      <c r="G26">
        <f>IF($A26="","",$A26&amp;"|"&amp;$F26)</f>
        <v/>
      </c>
    </row>
    <row r="27">
      <c r="A27">
        <f>IF(AND(진행중!D7&lt;&gt;"",진행중!V7&lt;&gt;"",진행중!S7&lt;&gt;"",진행중!S7&lt;&gt;"X",진행중!AA7&lt;&gt;"완료"),진행중!S7,"")</f>
        <v/>
      </c>
      <c r="B27">
        <f>IF($A27="","",진행중!D7)</f>
        <v/>
      </c>
      <c r="C27" t="inlineStr">
        <is>
          <t>창호</t>
        </is>
      </c>
      <c r="D27" s="22">
        <f>IF($A27="","",진행중!V7)</f>
        <v/>
      </c>
      <c r="E27" s="22">
        <f>IF($A27="","",IF(VLOOKUP($C27,설정!$A$4:$B$12,2,0)=0,진행중!W7,MIN(WORKDAY(진행중!V7,VLOOKUP($C27,설정!$A$4:$B$12,2,0)-1),진행중!W7)))</f>
        <v/>
      </c>
      <c r="F27">
        <f>IF($A27="","",COUNTIF($A$2:$A27,$A27))</f>
        <v/>
      </c>
      <c r="G27">
        <f>IF($A27="","",$A27&amp;"|"&amp;$F27)</f>
        <v/>
      </c>
    </row>
    <row r="28">
      <c r="A28">
        <f>IF(AND(진행중!D7&lt;&gt;"",진행중!V7&lt;&gt;"",진행중!T7&lt;&gt;"",진행중!T7&lt;&gt;"X",진행중!AA7&lt;&gt;"완료"),진행중!T7,"")</f>
        <v/>
      </c>
      <c r="B28">
        <f>IF($A28="","",진행중!D7)</f>
        <v/>
      </c>
      <c r="C28" t="inlineStr">
        <is>
          <t>조적</t>
        </is>
      </c>
      <c r="D28" s="22">
        <f>IF($A28="","",진행중!V7)</f>
        <v/>
      </c>
      <c r="E28" s="22">
        <f>IF($A28="","",IF(VLOOKUP($C28,설정!$A$4:$B$12,2,0)=0,진행중!W7,MIN(WORKDAY(진행중!V7,VLOOKUP($C28,설정!$A$4:$B$12,2,0)-1),진행중!W7)))</f>
        <v/>
      </c>
      <c r="F28">
        <f>IF($A28="","",COUNTIF($A$2:$A28,$A28))</f>
        <v/>
      </c>
      <c r="G28">
        <f>IF($A28="","",$A28&amp;"|"&amp;$F28)</f>
        <v/>
      </c>
    </row>
    <row r="29">
      <c r="A29">
        <f>IF(AND(진행중!D8&lt;&gt;"",진행중!V8&lt;&gt;"",진행중!L8&lt;&gt;"",진행중!L8&lt;&gt;"X",진행중!AA8&lt;&gt;"완료"),진행중!L8,"")</f>
        <v/>
      </c>
      <c r="B29">
        <f>IF($A29="","",진행중!D8)</f>
        <v/>
      </c>
      <c r="C29" t="inlineStr">
        <is>
          <t>PM</t>
        </is>
      </c>
      <c r="D29" s="22">
        <f>IF($A29="","",진행중!V8)</f>
        <v/>
      </c>
      <c r="E29" s="22">
        <f>IF($A29="","",IF(VLOOKUP($C29,설정!$A$4:$B$12,2,0)=0,진행중!W8,MIN(WORKDAY(진행중!V8,VLOOKUP($C29,설정!$A$4:$B$12,2,0)-1),진행중!W8)))</f>
        <v/>
      </c>
      <c r="F29">
        <f>IF($A29="","",COUNTIF($A$2:$A29,$A29))</f>
        <v/>
      </c>
      <c r="G29">
        <f>IF($A29="","",$A29&amp;"|"&amp;$F29)</f>
        <v/>
      </c>
    </row>
    <row r="30">
      <c r="A30">
        <f>IF(AND(진행중!D8&lt;&gt;"",진행중!V8&lt;&gt;"",진행중!M8&lt;&gt;"",진행중!M8&lt;&gt;"X",진행중!AA8&lt;&gt;"완료"),진행중!M8,"")</f>
        <v/>
      </c>
      <c r="B30">
        <f>IF($A30="","",진행중!D8)</f>
        <v/>
      </c>
      <c r="C30" t="inlineStr">
        <is>
          <t>검토</t>
        </is>
      </c>
      <c r="D30" s="22">
        <f>IF($A30="","",진행중!V8)</f>
        <v/>
      </c>
      <c r="E30" s="22">
        <f>IF($A30="","",IF(VLOOKUP($C30,설정!$A$4:$B$12,2,0)=0,진행중!W8,MIN(WORKDAY(진행중!V8,VLOOKUP($C30,설정!$A$4:$B$12,2,0)-1),진행중!W8)))</f>
        <v/>
      </c>
      <c r="F30">
        <f>IF($A30="","",COUNTIF($A$2:$A30,$A30))</f>
        <v/>
      </c>
      <c r="G30">
        <f>IF($A30="","",$A30&amp;"|"&amp;$F30)</f>
        <v/>
      </c>
    </row>
    <row r="31">
      <c r="A31">
        <f>IF(AND(진행중!D8&lt;&gt;"",진행중!V8&lt;&gt;"",진행중!N8&lt;&gt;"",진행중!N8&lt;&gt;"X",진행중!AA8&lt;&gt;"완료"),진행중!N8,"")</f>
        <v/>
      </c>
      <c r="B31">
        <f>IF($A31="","",진행중!D8)</f>
        <v/>
      </c>
      <c r="C31" t="inlineStr">
        <is>
          <t>내역</t>
        </is>
      </c>
      <c r="D31" s="22">
        <f>IF($A31="","",진행중!V8)</f>
        <v/>
      </c>
      <c r="E31" s="22">
        <f>IF($A31="","",IF(VLOOKUP($C31,설정!$A$4:$B$12,2,0)=0,진행중!W8,MIN(WORKDAY(진행중!V8,VLOOKUP($C31,설정!$A$4:$B$12,2,0)-1),진행중!W8)))</f>
        <v/>
      </c>
      <c r="F31">
        <f>IF($A31="","",COUNTIF($A$2:$A31,$A31))</f>
        <v/>
      </c>
      <c r="G31">
        <f>IF($A31="","",$A31&amp;"|"&amp;$F31)</f>
        <v/>
      </c>
    </row>
    <row r="32">
      <c r="A32">
        <f>IF(AND(진행중!D8&lt;&gt;"",진행중!V8&lt;&gt;"",진행중!O8&lt;&gt;"",진행중!O8&lt;&gt;"X",진행중!AA8&lt;&gt;"완료"),진행중!O8,"")</f>
        <v/>
      </c>
      <c r="B32">
        <f>IF($A32="","",진행중!D8)</f>
        <v/>
      </c>
      <c r="C32" t="inlineStr">
        <is>
          <t>가설</t>
        </is>
      </c>
      <c r="D32" s="22">
        <f>IF($A32="","",진행중!V8)</f>
        <v/>
      </c>
      <c r="E32" s="22">
        <f>IF($A32="","",IF(VLOOKUP($C32,설정!$A$4:$B$12,2,0)=0,진행중!W8,MIN(WORKDAY(진행중!V8,VLOOKUP($C32,설정!$A$4:$B$12,2,0)-1),진행중!W8)))</f>
        <v/>
      </c>
      <c r="F32">
        <f>IF($A32="","",COUNTIF($A$2:$A32,$A32))</f>
        <v/>
      </c>
      <c r="G32">
        <f>IF($A32="","",$A32&amp;"|"&amp;$F32)</f>
        <v/>
      </c>
    </row>
    <row r="33">
      <c r="A33">
        <f>IF(AND(진행중!D8&lt;&gt;"",진행중!V8&lt;&gt;"",진행중!P8&lt;&gt;"",진행중!P8&lt;&gt;"X",진행중!AA8&lt;&gt;"완료"),진행중!P8,"")</f>
        <v/>
      </c>
      <c r="B33">
        <f>IF($A33="","",진행중!D8)</f>
        <v/>
      </c>
      <c r="C33" t="inlineStr">
        <is>
          <t>세대</t>
        </is>
      </c>
      <c r="D33" s="22">
        <f>IF($A33="","",진행중!V8)</f>
        <v/>
      </c>
      <c r="E33" s="22">
        <f>IF($A33="","",IF(VLOOKUP($C33,설정!$A$4:$B$12,2,0)=0,진행중!W8,MIN(WORKDAY(진행중!V8,VLOOKUP($C33,설정!$A$4:$B$12,2,0)-1),진행중!W8)))</f>
        <v/>
      </c>
      <c r="F33">
        <f>IF($A33="","",COUNTIF($A$2:$A33,$A33))</f>
        <v/>
      </c>
      <c r="G33">
        <f>IF($A33="","",$A33&amp;"|"&amp;$F33)</f>
        <v/>
      </c>
    </row>
    <row r="34">
      <c r="A34">
        <f>IF(AND(진행중!D8&lt;&gt;"",진행중!V8&lt;&gt;"",진행중!Q8&lt;&gt;"",진행중!Q8&lt;&gt;"X",진행중!AA8&lt;&gt;"완료"),진행중!Q8,"")</f>
        <v/>
      </c>
      <c r="B34">
        <f>IF($A34="","",진행중!D8)</f>
        <v/>
      </c>
      <c r="C34" t="inlineStr">
        <is>
          <t>내부</t>
        </is>
      </c>
      <c r="D34" s="22">
        <f>IF($A34="","",진행중!V8)</f>
        <v/>
      </c>
      <c r="E34" s="22">
        <f>IF($A34="","",IF(VLOOKUP($C34,설정!$A$4:$B$12,2,0)=0,진행중!W8,MIN(WORKDAY(진행중!V8,VLOOKUP($C34,설정!$A$4:$B$12,2,0)-1),진행중!W8)))</f>
        <v/>
      </c>
      <c r="F34">
        <f>IF($A34="","",COUNTIF($A$2:$A34,$A34))</f>
        <v/>
      </c>
      <c r="G34">
        <f>IF($A34="","",$A34&amp;"|"&amp;$F34)</f>
        <v/>
      </c>
    </row>
    <row r="35">
      <c r="A35">
        <f>IF(AND(진행중!D8&lt;&gt;"",진행중!V8&lt;&gt;"",진행중!R8&lt;&gt;"",진행중!R8&lt;&gt;"X",진행중!AA8&lt;&gt;"완료"),진행중!R8,"")</f>
        <v/>
      </c>
      <c r="B35">
        <f>IF($A35="","",진행중!D8)</f>
        <v/>
      </c>
      <c r="C35" t="inlineStr">
        <is>
          <t>외부</t>
        </is>
      </c>
      <c r="D35" s="22">
        <f>IF($A35="","",진행중!V8)</f>
        <v/>
      </c>
      <c r="E35" s="22">
        <f>IF($A35="","",IF(VLOOKUP($C35,설정!$A$4:$B$12,2,0)=0,진행중!W8,MIN(WORKDAY(진행중!V8,VLOOKUP($C35,설정!$A$4:$B$12,2,0)-1),진행중!W8)))</f>
        <v/>
      </c>
      <c r="F35">
        <f>IF($A35="","",COUNTIF($A$2:$A35,$A35))</f>
        <v/>
      </c>
      <c r="G35">
        <f>IF($A35="","",$A35&amp;"|"&amp;$F35)</f>
        <v/>
      </c>
    </row>
    <row r="36">
      <c r="A36">
        <f>IF(AND(진행중!D8&lt;&gt;"",진행중!V8&lt;&gt;"",진행중!S8&lt;&gt;"",진행중!S8&lt;&gt;"X",진행중!AA8&lt;&gt;"완료"),진행중!S8,"")</f>
        <v/>
      </c>
      <c r="B36">
        <f>IF($A36="","",진행중!D8)</f>
        <v/>
      </c>
      <c r="C36" t="inlineStr">
        <is>
          <t>창호</t>
        </is>
      </c>
      <c r="D36" s="22">
        <f>IF($A36="","",진행중!V8)</f>
        <v/>
      </c>
      <c r="E36" s="22">
        <f>IF($A36="","",IF(VLOOKUP($C36,설정!$A$4:$B$12,2,0)=0,진행중!W8,MIN(WORKDAY(진행중!V8,VLOOKUP($C36,설정!$A$4:$B$12,2,0)-1),진행중!W8)))</f>
        <v/>
      </c>
      <c r="F36">
        <f>IF($A36="","",COUNTIF($A$2:$A36,$A36))</f>
        <v/>
      </c>
      <c r="G36">
        <f>IF($A36="","",$A36&amp;"|"&amp;$F36)</f>
        <v/>
      </c>
    </row>
    <row r="37">
      <c r="A37">
        <f>IF(AND(진행중!D8&lt;&gt;"",진행중!V8&lt;&gt;"",진행중!T8&lt;&gt;"",진행중!T8&lt;&gt;"X",진행중!AA8&lt;&gt;"완료"),진행중!T8,"")</f>
        <v/>
      </c>
      <c r="B37">
        <f>IF($A37="","",진행중!D8)</f>
        <v/>
      </c>
      <c r="C37" t="inlineStr">
        <is>
          <t>조적</t>
        </is>
      </c>
      <c r="D37" s="22">
        <f>IF($A37="","",진행중!V8)</f>
        <v/>
      </c>
      <c r="E37" s="22">
        <f>IF($A37="","",IF(VLOOKUP($C37,설정!$A$4:$B$12,2,0)=0,진행중!W8,MIN(WORKDAY(진행중!V8,VLOOKUP($C37,설정!$A$4:$B$12,2,0)-1),진행중!W8)))</f>
        <v/>
      </c>
      <c r="F37">
        <f>IF($A37="","",COUNTIF($A$2:$A37,$A37))</f>
        <v/>
      </c>
      <c r="G37">
        <f>IF($A37="","",$A37&amp;"|"&amp;$F37)</f>
        <v/>
      </c>
    </row>
    <row r="38">
      <c r="A38">
        <f>IF(AND(진행중!D9&lt;&gt;"",진행중!V9&lt;&gt;"",진행중!L9&lt;&gt;"",진행중!L9&lt;&gt;"X",진행중!AA9&lt;&gt;"완료"),진행중!L9,"")</f>
        <v/>
      </c>
      <c r="B38">
        <f>IF($A38="","",진행중!D9)</f>
        <v/>
      </c>
      <c r="C38" t="inlineStr">
        <is>
          <t>PM</t>
        </is>
      </c>
      <c r="D38" s="22">
        <f>IF($A38="","",진행중!V9)</f>
        <v/>
      </c>
      <c r="E38" s="22">
        <f>IF($A38="","",IF(VLOOKUP($C38,설정!$A$4:$B$12,2,0)=0,진행중!W9,MIN(WORKDAY(진행중!V9,VLOOKUP($C38,설정!$A$4:$B$12,2,0)-1),진행중!W9)))</f>
        <v/>
      </c>
      <c r="F38">
        <f>IF($A38="","",COUNTIF($A$2:$A38,$A38))</f>
        <v/>
      </c>
      <c r="G38">
        <f>IF($A38="","",$A38&amp;"|"&amp;$F38)</f>
        <v/>
      </c>
    </row>
    <row r="39">
      <c r="A39">
        <f>IF(AND(진행중!D9&lt;&gt;"",진행중!V9&lt;&gt;"",진행중!M9&lt;&gt;"",진행중!M9&lt;&gt;"X",진행중!AA9&lt;&gt;"완료"),진행중!M9,"")</f>
        <v/>
      </c>
      <c r="B39">
        <f>IF($A39="","",진행중!D9)</f>
        <v/>
      </c>
      <c r="C39" t="inlineStr">
        <is>
          <t>검토</t>
        </is>
      </c>
      <c r="D39" s="22">
        <f>IF($A39="","",진행중!V9)</f>
        <v/>
      </c>
      <c r="E39" s="22">
        <f>IF($A39="","",IF(VLOOKUP($C39,설정!$A$4:$B$12,2,0)=0,진행중!W9,MIN(WORKDAY(진행중!V9,VLOOKUP($C39,설정!$A$4:$B$12,2,0)-1),진행중!W9)))</f>
        <v/>
      </c>
      <c r="F39">
        <f>IF($A39="","",COUNTIF($A$2:$A39,$A39))</f>
        <v/>
      </c>
      <c r="G39">
        <f>IF($A39="","",$A39&amp;"|"&amp;$F39)</f>
        <v/>
      </c>
    </row>
    <row r="40">
      <c r="A40">
        <f>IF(AND(진행중!D9&lt;&gt;"",진행중!V9&lt;&gt;"",진행중!N9&lt;&gt;"",진행중!N9&lt;&gt;"X",진행중!AA9&lt;&gt;"완료"),진행중!N9,"")</f>
        <v/>
      </c>
      <c r="B40">
        <f>IF($A40="","",진행중!D9)</f>
        <v/>
      </c>
      <c r="C40" t="inlineStr">
        <is>
          <t>내역</t>
        </is>
      </c>
      <c r="D40" s="22">
        <f>IF($A40="","",진행중!V9)</f>
        <v/>
      </c>
      <c r="E40" s="22">
        <f>IF($A40="","",IF(VLOOKUP($C40,설정!$A$4:$B$12,2,0)=0,진행중!W9,MIN(WORKDAY(진행중!V9,VLOOKUP($C40,설정!$A$4:$B$12,2,0)-1),진행중!W9)))</f>
        <v/>
      </c>
      <c r="F40">
        <f>IF($A40="","",COUNTIF($A$2:$A40,$A40))</f>
        <v/>
      </c>
      <c r="G40">
        <f>IF($A40="","",$A40&amp;"|"&amp;$F40)</f>
        <v/>
      </c>
    </row>
    <row r="41">
      <c r="A41">
        <f>IF(AND(진행중!D9&lt;&gt;"",진행중!V9&lt;&gt;"",진행중!O9&lt;&gt;"",진행중!O9&lt;&gt;"X",진행중!AA9&lt;&gt;"완료"),진행중!O9,"")</f>
        <v/>
      </c>
      <c r="B41">
        <f>IF($A41="","",진행중!D9)</f>
        <v/>
      </c>
      <c r="C41" t="inlineStr">
        <is>
          <t>가설</t>
        </is>
      </c>
      <c r="D41" s="22">
        <f>IF($A41="","",진행중!V9)</f>
        <v/>
      </c>
      <c r="E41" s="22">
        <f>IF($A41="","",IF(VLOOKUP($C41,설정!$A$4:$B$12,2,0)=0,진행중!W9,MIN(WORKDAY(진행중!V9,VLOOKUP($C41,설정!$A$4:$B$12,2,0)-1),진행중!W9)))</f>
        <v/>
      </c>
      <c r="F41">
        <f>IF($A41="","",COUNTIF($A$2:$A41,$A41))</f>
        <v/>
      </c>
      <c r="G41">
        <f>IF($A41="","",$A41&amp;"|"&amp;$F41)</f>
        <v/>
      </c>
    </row>
    <row r="42">
      <c r="A42">
        <f>IF(AND(진행중!D9&lt;&gt;"",진행중!V9&lt;&gt;"",진행중!P9&lt;&gt;"",진행중!P9&lt;&gt;"X",진행중!AA9&lt;&gt;"완료"),진행중!P9,"")</f>
        <v/>
      </c>
      <c r="B42">
        <f>IF($A42="","",진행중!D9)</f>
        <v/>
      </c>
      <c r="C42" t="inlineStr">
        <is>
          <t>세대</t>
        </is>
      </c>
      <c r="D42" s="22">
        <f>IF($A42="","",진행중!V9)</f>
        <v/>
      </c>
      <c r="E42" s="22">
        <f>IF($A42="","",IF(VLOOKUP($C42,설정!$A$4:$B$12,2,0)=0,진행중!W9,MIN(WORKDAY(진행중!V9,VLOOKUP($C42,설정!$A$4:$B$12,2,0)-1),진행중!W9)))</f>
        <v/>
      </c>
      <c r="F42">
        <f>IF($A42="","",COUNTIF($A$2:$A42,$A42))</f>
        <v/>
      </c>
      <c r="G42">
        <f>IF($A42="","",$A42&amp;"|"&amp;$F42)</f>
        <v/>
      </c>
    </row>
    <row r="43">
      <c r="A43">
        <f>IF(AND(진행중!D9&lt;&gt;"",진행중!V9&lt;&gt;"",진행중!Q9&lt;&gt;"",진행중!Q9&lt;&gt;"X",진행중!AA9&lt;&gt;"완료"),진행중!Q9,"")</f>
        <v/>
      </c>
      <c r="B43">
        <f>IF($A43="","",진행중!D9)</f>
        <v/>
      </c>
      <c r="C43" t="inlineStr">
        <is>
          <t>내부</t>
        </is>
      </c>
      <c r="D43" s="22">
        <f>IF($A43="","",진행중!V9)</f>
        <v/>
      </c>
      <c r="E43" s="22">
        <f>IF($A43="","",IF(VLOOKUP($C43,설정!$A$4:$B$12,2,0)=0,진행중!W9,MIN(WORKDAY(진행중!V9,VLOOKUP($C43,설정!$A$4:$B$12,2,0)-1),진행중!W9)))</f>
        <v/>
      </c>
      <c r="F43">
        <f>IF($A43="","",COUNTIF($A$2:$A43,$A43))</f>
        <v/>
      </c>
      <c r="G43">
        <f>IF($A43="","",$A43&amp;"|"&amp;$F43)</f>
        <v/>
      </c>
    </row>
    <row r="44">
      <c r="A44">
        <f>IF(AND(진행중!D9&lt;&gt;"",진행중!V9&lt;&gt;"",진행중!R9&lt;&gt;"",진행중!R9&lt;&gt;"X",진행중!AA9&lt;&gt;"완료"),진행중!R9,"")</f>
        <v/>
      </c>
      <c r="B44">
        <f>IF($A44="","",진행중!D9)</f>
        <v/>
      </c>
      <c r="C44" t="inlineStr">
        <is>
          <t>외부</t>
        </is>
      </c>
      <c r="D44" s="22">
        <f>IF($A44="","",진행중!V9)</f>
        <v/>
      </c>
      <c r="E44" s="22">
        <f>IF($A44="","",IF(VLOOKUP($C44,설정!$A$4:$B$12,2,0)=0,진행중!W9,MIN(WORKDAY(진행중!V9,VLOOKUP($C44,설정!$A$4:$B$12,2,0)-1),진행중!W9)))</f>
        <v/>
      </c>
      <c r="F44">
        <f>IF($A44="","",COUNTIF($A$2:$A44,$A44))</f>
        <v/>
      </c>
      <c r="G44">
        <f>IF($A44="","",$A44&amp;"|"&amp;$F44)</f>
        <v/>
      </c>
    </row>
    <row r="45">
      <c r="A45">
        <f>IF(AND(진행중!D9&lt;&gt;"",진행중!V9&lt;&gt;"",진행중!S9&lt;&gt;"",진행중!S9&lt;&gt;"X",진행중!AA9&lt;&gt;"완료"),진행중!S9,"")</f>
        <v/>
      </c>
      <c r="B45">
        <f>IF($A45="","",진행중!D9)</f>
        <v/>
      </c>
      <c r="C45" t="inlineStr">
        <is>
          <t>창호</t>
        </is>
      </c>
      <c r="D45" s="22">
        <f>IF($A45="","",진행중!V9)</f>
        <v/>
      </c>
      <c r="E45" s="22">
        <f>IF($A45="","",IF(VLOOKUP($C45,설정!$A$4:$B$12,2,0)=0,진행중!W9,MIN(WORKDAY(진행중!V9,VLOOKUP($C45,설정!$A$4:$B$12,2,0)-1),진행중!W9)))</f>
        <v/>
      </c>
      <c r="F45">
        <f>IF($A45="","",COUNTIF($A$2:$A45,$A45))</f>
        <v/>
      </c>
      <c r="G45">
        <f>IF($A45="","",$A45&amp;"|"&amp;$F45)</f>
        <v/>
      </c>
    </row>
    <row r="46">
      <c r="A46">
        <f>IF(AND(진행중!D9&lt;&gt;"",진행중!V9&lt;&gt;"",진행중!T9&lt;&gt;"",진행중!T9&lt;&gt;"X",진행중!AA9&lt;&gt;"완료"),진행중!T9,"")</f>
        <v/>
      </c>
      <c r="B46">
        <f>IF($A46="","",진행중!D9)</f>
        <v/>
      </c>
      <c r="C46" t="inlineStr">
        <is>
          <t>조적</t>
        </is>
      </c>
      <c r="D46" s="22">
        <f>IF($A46="","",진행중!V9)</f>
        <v/>
      </c>
      <c r="E46" s="22">
        <f>IF($A46="","",IF(VLOOKUP($C46,설정!$A$4:$B$12,2,0)=0,진행중!W9,MIN(WORKDAY(진행중!V9,VLOOKUP($C46,설정!$A$4:$B$12,2,0)-1),진행중!W9)))</f>
        <v/>
      </c>
      <c r="F46">
        <f>IF($A46="","",COUNTIF($A$2:$A46,$A46))</f>
        <v/>
      </c>
      <c r="G46">
        <f>IF($A46="","",$A46&amp;"|"&amp;$F46)</f>
        <v/>
      </c>
    </row>
    <row r="47">
      <c r="A47">
        <f>IF(AND(진행중!D10&lt;&gt;"",진행중!V10&lt;&gt;"",진행중!L10&lt;&gt;"",진행중!L10&lt;&gt;"X",진행중!AA10&lt;&gt;"완료"),진행중!L10,"")</f>
        <v/>
      </c>
      <c r="B47">
        <f>IF($A47="","",진행중!D10)</f>
        <v/>
      </c>
      <c r="C47" t="inlineStr">
        <is>
          <t>PM</t>
        </is>
      </c>
      <c r="D47" s="22">
        <f>IF($A47="","",진행중!V10)</f>
        <v/>
      </c>
      <c r="E47" s="22">
        <f>IF($A47="","",IF(VLOOKUP($C47,설정!$A$4:$B$12,2,0)=0,진행중!W10,MIN(WORKDAY(진행중!V10,VLOOKUP($C47,설정!$A$4:$B$12,2,0)-1),진행중!W10)))</f>
        <v/>
      </c>
      <c r="F47">
        <f>IF($A47="","",COUNTIF($A$2:$A47,$A47))</f>
        <v/>
      </c>
      <c r="G47">
        <f>IF($A47="","",$A47&amp;"|"&amp;$F47)</f>
        <v/>
      </c>
    </row>
    <row r="48">
      <c r="A48">
        <f>IF(AND(진행중!D10&lt;&gt;"",진행중!V10&lt;&gt;"",진행중!M10&lt;&gt;"",진행중!M10&lt;&gt;"X",진행중!AA10&lt;&gt;"완료"),진행중!M10,"")</f>
        <v/>
      </c>
      <c r="B48">
        <f>IF($A48="","",진행중!D10)</f>
        <v/>
      </c>
      <c r="C48" t="inlineStr">
        <is>
          <t>검토</t>
        </is>
      </c>
      <c r="D48" s="22">
        <f>IF($A48="","",진행중!V10)</f>
        <v/>
      </c>
      <c r="E48" s="22">
        <f>IF($A48="","",IF(VLOOKUP($C48,설정!$A$4:$B$12,2,0)=0,진행중!W10,MIN(WORKDAY(진행중!V10,VLOOKUP($C48,설정!$A$4:$B$12,2,0)-1),진행중!W10)))</f>
        <v/>
      </c>
      <c r="F48">
        <f>IF($A48="","",COUNTIF($A$2:$A48,$A48))</f>
        <v/>
      </c>
      <c r="G48">
        <f>IF($A48="","",$A48&amp;"|"&amp;$F48)</f>
        <v/>
      </c>
    </row>
    <row r="49">
      <c r="A49">
        <f>IF(AND(진행중!D10&lt;&gt;"",진행중!V10&lt;&gt;"",진행중!N10&lt;&gt;"",진행중!N10&lt;&gt;"X",진행중!AA10&lt;&gt;"완료"),진행중!N10,"")</f>
        <v/>
      </c>
      <c r="B49">
        <f>IF($A49="","",진행중!D10)</f>
        <v/>
      </c>
      <c r="C49" t="inlineStr">
        <is>
          <t>내역</t>
        </is>
      </c>
      <c r="D49" s="22">
        <f>IF($A49="","",진행중!V10)</f>
        <v/>
      </c>
      <c r="E49" s="22">
        <f>IF($A49="","",IF(VLOOKUP($C49,설정!$A$4:$B$12,2,0)=0,진행중!W10,MIN(WORKDAY(진행중!V10,VLOOKUP($C49,설정!$A$4:$B$12,2,0)-1),진행중!W10)))</f>
        <v/>
      </c>
      <c r="F49">
        <f>IF($A49="","",COUNTIF($A$2:$A49,$A49))</f>
        <v/>
      </c>
      <c r="G49">
        <f>IF($A49="","",$A49&amp;"|"&amp;$F49)</f>
        <v/>
      </c>
    </row>
    <row r="50">
      <c r="A50">
        <f>IF(AND(진행중!D10&lt;&gt;"",진행중!V10&lt;&gt;"",진행중!O10&lt;&gt;"",진행중!O10&lt;&gt;"X",진행중!AA10&lt;&gt;"완료"),진행중!O10,"")</f>
        <v/>
      </c>
      <c r="B50">
        <f>IF($A50="","",진행중!D10)</f>
        <v/>
      </c>
      <c r="C50" t="inlineStr">
        <is>
          <t>가설</t>
        </is>
      </c>
      <c r="D50" s="22">
        <f>IF($A50="","",진행중!V10)</f>
        <v/>
      </c>
      <c r="E50" s="22">
        <f>IF($A50="","",IF(VLOOKUP($C50,설정!$A$4:$B$12,2,0)=0,진행중!W10,MIN(WORKDAY(진행중!V10,VLOOKUP($C50,설정!$A$4:$B$12,2,0)-1),진행중!W10)))</f>
        <v/>
      </c>
      <c r="F50">
        <f>IF($A50="","",COUNTIF($A$2:$A50,$A50))</f>
        <v/>
      </c>
      <c r="G50">
        <f>IF($A50="","",$A50&amp;"|"&amp;$F50)</f>
        <v/>
      </c>
    </row>
    <row r="51">
      <c r="A51">
        <f>IF(AND(진행중!D10&lt;&gt;"",진행중!V10&lt;&gt;"",진행중!P10&lt;&gt;"",진행중!P10&lt;&gt;"X",진행중!AA10&lt;&gt;"완료"),진행중!P10,"")</f>
        <v/>
      </c>
      <c r="B51">
        <f>IF($A51="","",진행중!D10)</f>
        <v/>
      </c>
      <c r="C51" t="inlineStr">
        <is>
          <t>세대</t>
        </is>
      </c>
      <c r="D51" s="22">
        <f>IF($A51="","",진행중!V10)</f>
        <v/>
      </c>
      <c r="E51" s="22">
        <f>IF($A51="","",IF(VLOOKUP($C51,설정!$A$4:$B$12,2,0)=0,진행중!W10,MIN(WORKDAY(진행중!V10,VLOOKUP($C51,설정!$A$4:$B$12,2,0)-1),진행중!W10)))</f>
        <v/>
      </c>
      <c r="F51">
        <f>IF($A51="","",COUNTIF($A$2:$A51,$A51))</f>
        <v/>
      </c>
      <c r="G51">
        <f>IF($A51="","",$A51&amp;"|"&amp;$F51)</f>
        <v/>
      </c>
    </row>
    <row r="52">
      <c r="A52">
        <f>IF(AND(진행중!D10&lt;&gt;"",진행중!V10&lt;&gt;"",진행중!Q10&lt;&gt;"",진행중!Q10&lt;&gt;"X",진행중!AA10&lt;&gt;"완료"),진행중!Q10,"")</f>
        <v/>
      </c>
      <c r="B52">
        <f>IF($A52="","",진행중!D10)</f>
        <v/>
      </c>
      <c r="C52" t="inlineStr">
        <is>
          <t>내부</t>
        </is>
      </c>
      <c r="D52" s="22">
        <f>IF($A52="","",진행중!V10)</f>
        <v/>
      </c>
      <c r="E52" s="22">
        <f>IF($A52="","",IF(VLOOKUP($C52,설정!$A$4:$B$12,2,0)=0,진행중!W10,MIN(WORKDAY(진행중!V10,VLOOKUP($C52,설정!$A$4:$B$12,2,0)-1),진행중!W10)))</f>
        <v/>
      </c>
      <c r="F52">
        <f>IF($A52="","",COUNTIF($A$2:$A52,$A52))</f>
        <v/>
      </c>
      <c r="G52">
        <f>IF($A52="","",$A52&amp;"|"&amp;$F52)</f>
        <v/>
      </c>
    </row>
    <row r="53">
      <c r="A53">
        <f>IF(AND(진행중!D10&lt;&gt;"",진행중!V10&lt;&gt;"",진행중!R10&lt;&gt;"",진행중!R10&lt;&gt;"X",진행중!AA10&lt;&gt;"완료"),진행중!R10,"")</f>
        <v/>
      </c>
      <c r="B53">
        <f>IF($A53="","",진행중!D10)</f>
        <v/>
      </c>
      <c r="C53" t="inlineStr">
        <is>
          <t>외부</t>
        </is>
      </c>
      <c r="D53" s="22">
        <f>IF($A53="","",진행중!V10)</f>
        <v/>
      </c>
      <c r="E53" s="22">
        <f>IF($A53="","",IF(VLOOKUP($C53,설정!$A$4:$B$12,2,0)=0,진행중!W10,MIN(WORKDAY(진행중!V10,VLOOKUP($C53,설정!$A$4:$B$12,2,0)-1),진행중!W10)))</f>
        <v/>
      </c>
      <c r="F53">
        <f>IF($A53="","",COUNTIF($A$2:$A53,$A53))</f>
        <v/>
      </c>
      <c r="G53">
        <f>IF($A53="","",$A53&amp;"|"&amp;$F53)</f>
        <v/>
      </c>
    </row>
    <row r="54">
      <c r="A54">
        <f>IF(AND(진행중!D10&lt;&gt;"",진행중!V10&lt;&gt;"",진행중!S10&lt;&gt;"",진행중!S10&lt;&gt;"X",진행중!AA10&lt;&gt;"완료"),진행중!S10,"")</f>
        <v/>
      </c>
      <c r="B54">
        <f>IF($A54="","",진행중!D10)</f>
        <v/>
      </c>
      <c r="C54" t="inlineStr">
        <is>
          <t>창호</t>
        </is>
      </c>
      <c r="D54" s="22">
        <f>IF($A54="","",진행중!V10)</f>
        <v/>
      </c>
      <c r="E54" s="22">
        <f>IF($A54="","",IF(VLOOKUP($C54,설정!$A$4:$B$12,2,0)=0,진행중!W10,MIN(WORKDAY(진행중!V10,VLOOKUP($C54,설정!$A$4:$B$12,2,0)-1),진행중!W10)))</f>
        <v/>
      </c>
      <c r="F54">
        <f>IF($A54="","",COUNTIF($A$2:$A54,$A54))</f>
        <v/>
      </c>
      <c r="G54">
        <f>IF($A54="","",$A54&amp;"|"&amp;$F54)</f>
        <v/>
      </c>
    </row>
    <row r="55">
      <c r="A55">
        <f>IF(AND(진행중!D10&lt;&gt;"",진행중!V10&lt;&gt;"",진행중!T10&lt;&gt;"",진행중!T10&lt;&gt;"X",진행중!AA10&lt;&gt;"완료"),진행중!T10,"")</f>
        <v/>
      </c>
      <c r="B55">
        <f>IF($A55="","",진행중!D10)</f>
        <v/>
      </c>
      <c r="C55" t="inlineStr">
        <is>
          <t>조적</t>
        </is>
      </c>
      <c r="D55" s="22">
        <f>IF($A55="","",진행중!V10)</f>
        <v/>
      </c>
      <c r="E55" s="22">
        <f>IF($A55="","",IF(VLOOKUP($C55,설정!$A$4:$B$12,2,0)=0,진행중!W10,MIN(WORKDAY(진행중!V10,VLOOKUP($C55,설정!$A$4:$B$12,2,0)-1),진행중!W10)))</f>
        <v/>
      </c>
      <c r="F55">
        <f>IF($A55="","",COUNTIF($A$2:$A55,$A55))</f>
        <v/>
      </c>
      <c r="G55">
        <f>IF($A55="","",$A55&amp;"|"&amp;$F55)</f>
        <v/>
      </c>
    </row>
    <row r="56">
      <c r="A56">
        <f>IF(AND(진행중!D11&lt;&gt;"",진행중!V11&lt;&gt;"",진행중!L11&lt;&gt;"",진행중!L11&lt;&gt;"X",진행중!AA11&lt;&gt;"완료"),진행중!L11,"")</f>
        <v/>
      </c>
      <c r="B56">
        <f>IF($A56="","",진행중!D11)</f>
        <v/>
      </c>
      <c r="C56" t="inlineStr">
        <is>
          <t>PM</t>
        </is>
      </c>
      <c r="D56" s="22">
        <f>IF($A56="","",진행중!V11)</f>
        <v/>
      </c>
      <c r="E56" s="22">
        <f>IF($A56="","",IF(VLOOKUP($C56,설정!$A$4:$B$12,2,0)=0,진행중!W11,MIN(WORKDAY(진행중!V11,VLOOKUP($C56,설정!$A$4:$B$12,2,0)-1),진행중!W11)))</f>
        <v/>
      </c>
      <c r="F56">
        <f>IF($A56="","",COUNTIF($A$2:$A56,$A56))</f>
        <v/>
      </c>
      <c r="G56">
        <f>IF($A56="","",$A56&amp;"|"&amp;$F56)</f>
        <v/>
      </c>
    </row>
    <row r="57">
      <c r="A57">
        <f>IF(AND(진행중!D11&lt;&gt;"",진행중!V11&lt;&gt;"",진행중!M11&lt;&gt;"",진행중!M11&lt;&gt;"X",진행중!AA11&lt;&gt;"완료"),진행중!M11,"")</f>
        <v/>
      </c>
      <c r="B57">
        <f>IF($A57="","",진행중!D11)</f>
        <v/>
      </c>
      <c r="C57" t="inlineStr">
        <is>
          <t>검토</t>
        </is>
      </c>
      <c r="D57" s="22">
        <f>IF($A57="","",진행중!V11)</f>
        <v/>
      </c>
      <c r="E57" s="22">
        <f>IF($A57="","",IF(VLOOKUP($C57,설정!$A$4:$B$12,2,0)=0,진행중!W11,MIN(WORKDAY(진행중!V11,VLOOKUP($C57,설정!$A$4:$B$12,2,0)-1),진행중!W11)))</f>
        <v/>
      </c>
      <c r="F57">
        <f>IF($A57="","",COUNTIF($A$2:$A57,$A57))</f>
        <v/>
      </c>
      <c r="G57">
        <f>IF($A57="","",$A57&amp;"|"&amp;$F57)</f>
        <v/>
      </c>
    </row>
    <row r="58">
      <c r="A58">
        <f>IF(AND(진행중!D11&lt;&gt;"",진행중!V11&lt;&gt;"",진행중!N11&lt;&gt;"",진행중!N11&lt;&gt;"X",진행중!AA11&lt;&gt;"완료"),진행중!N11,"")</f>
        <v/>
      </c>
      <c r="B58">
        <f>IF($A58="","",진행중!D11)</f>
        <v/>
      </c>
      <c r="C58" t="inlineStr">
        <is>
          <t>내역</t>
        </is>
      </c>
      <c r="D58" s="22">
        <f>IF($A58="","",진행중!V11)</f>
        <v/>
      </c>
      <c r="E58" s="22">
        <f>IF($A58="","",IF(VLOOKUP($C58,설정!$A$4:$B$12,2,0)=0,진행중!W11,MIN(WORKDAY(진행중!V11,VLOOKUP($C58,설정!$A$4:$B$12,2,0)-1),진행중!W11)))</f>
        <v/>
      </c>
      <c r="F58">
        <f>IF($A58="","",COUNTIF($A$2:$A58,$A58))</f>
        <v/>
      </c>
      <c r="G58">
        <f>IF($A58="","",$A58&amp;"|"&amp;$F58)</f>
        <v/>
      </c>
    </row>
    <row r="59">
      <c r="A59">
        <f>IF(AND(진행중!D11&lt;&gt;"",진행중!V11&lt;&gt;"",진행중!O11&lt;&gt;"",진행중!O11&lt;&gt;"X",진행중!AA11&lt;&gt;"완료"),진행중!O11,"")</f>
        <v/>
      </c>
      <c r="B59">
        <f>IF($A59="","",진행중!D11)</f>
        <v/>
      </c>
      <c r="C59" t="inlineStr">
        <is>
          <t>가설</t>
        </is>
      </c>
      <c r="D59" s="22">
        <f>IF($A59="","",진행중!V11)</f>
        <v/>
      </c>
      <c r="E59" s="22">
        <f>IF($A59="","",IF(VLOOKUP($C59,설정!$A$4:$B$12,2,0)=0,진행중!W11,MIN(WORKDAY(진행중!V11,VLOOKUP($C59,설정!$A$4:$B$12,2,0)-1),진행중!W11)))</f>
        <v/>
      </c>
      <c r="F59">
        <f>IF($A59="","",COUNTIF($A$2:$A59,$A59))</f>
        <v/>
      </c>
      <c r="G59">
        <f>IF($A59="","",$A59&amp;"|"&amp;$F59)</f>
        <v/>
      </c>
    </row>
    <row r="60">
      <c r="A60">
        <f>IF(AND(진행중!D11&lt;&gt;"",진행중!V11&lt;&gt;"",진행중!P11&lt;&gt;"",진행중!P11&lt;&gt;"X",진행중!AA11&lt;&gt;"완료"),진행중!P11,"")</f>
        <v/>
      </c>
      <c r="B60">
        <f>IF($A60="","",진행중!D11)</f>
        <v/>
      </c>
      <c r="C60" t="inlineStr">
        <is>
          <t>세대</t>
        </is>
      </c>
      <c r="D60" s="22">
        <f>IF($A60="","",진행중!V11)</f>
        <v/>
      </c>
      <c r="E60" s="22">
        <f>IF($A60="","",IF(VLOOKUP($C60,설정!$A$4:$B$12,2,0)=0,진행중!W11,MIN(WORKDAY(진행중!V11,VLOOKUP($C60,설정!$A$4:$B$12,2,0)-1),진행중!W11)))</f>
        <v/>
      </c>
      <c r="F60">
        <f>IF($A60="","",COUNTIF($A$2:$A60,$A60))</f>
        <v/>
      </c>
      <c r="G60">
        <f>IF($A60="","",$A60&amp;"|"&amp;$F60)</f>
        <v/>
      </c>
    </row>
    <row r="61">
      <c r="A61">
        <f>IF(AND(진행중!D11&lt;&gt;"",진행중!V11&lt;&gt;"",진행중!Q11&lt;&gt;"",진행중!Q11&lt;&gt;"X",진행중!AA11&lt;&gt;"완료"),진행중!Q11,"")</f>
        <v/>
      </c>
      <c r="B61">
        <f>IF($A61="","",진행중!D11)</f>
        <v/>
      </c>
      <c r="C61" t="inlineStr">
        <is>
          <t>내부</t>
        </is>
      </c>
      <c r="D61" s="22">
        <f>IF($A61="","",진행중!V11)</f>
        <v/>
      </c>
      <c r="E61" s="22">
        <f>IF($A61="","",IF(VLOOKUP($C61,설정!$A$4:$B$12,2,0)=0,진행중!W11,MIN(WORKDAY(진행중!V11,VLOOKUP($C61,설정!$A$4:$B$12,2,0)-1),진행중!W11)))</f>
        <v/>
      </c>
      <c r="F61">
        <f>IF($A61="","",COUNTIF($A$2:$A61,$A61))</f>
        <v/>
      </c>
      <c r="G61">
        <f>IF($A61="","",$A61&amp;"|"&amp;$F61)</f>
        <v/>
      </c>
    </row>
    <row r="62">
      <c r="A62">
        <f>IF(AND(진행중!D11&lt;&gt;"",진행중!V11&lt;&gt;"",진행중!R11&lt;&gt;"",진행중!R11&lt;&gt;"X",진행중!AA11&lt;&gt;"완료"),진행중!R11,"")</f>
        <v/>
      </c>
      <c r="B62">
        <f>IF($A62="","",진행중!D11)</f>
        <v/>
      </c>
      <c r="C62" t="inlineStr">
        <is>
          <t>외부</t>
        </is>
      </c>
      <c r="D62" s="22">
        <f>IF($A62="","",진행중!V11)</f>
        <v/>
      </c>
      <c r="E62" s="22">
        <f>IF($A62="","",IF(VLOOKUP($C62,설정!$A$4:$B$12,2,0)=0,진행중!W11,MIN(WORKDAY(진행중!V11,VLOOKUP($C62,설정!$A$4:$B$12,2,0)-1),진행중!W11)))</f>
        <v/>
      </c>
      <c r="F62">
        <f>IF($A62="","",COUNTIF($A$2:$A62,$A62))</f>
        <v/>
      </c>
      <c r="G62">
        <f>IF($A62="","",$A62&amp;"|"&amp;$F62)</f>
        <v/>
      </c>
    </row>
    <row r="63">
      <c r="A63">
        <f>IF(AND(진행중!D11&lt;&gt;"",진행중!V11&lt;&gt;"",진행중!S11&lt;&gt;"",진행중!S11&lt;&gt;"X",진행중!AA11&lt;&gt;"완료"),진행중!S11,"")</f>
        <v/>
      </c>
      <c r="B63">
        <f>IF($A63="","",진행중!D11)</f>
        <v/>
      </c>
      <c r="C63" t="inlineStr">
        <is>
          <t>창호</t>
        </is>
      </c>
      <c r="D63" s="22">
        <f>IF($A63="","",진행중!V11)</f>
        <v/>
      </c>
      <c r="E63" s="22">
        <f>IF($A63="","",IF(VLOOKUP($C63,설정!$A$4:$B$12,2,0)=0,진행중!W11,MIN(WORKDAY(진행중!V11,VLOOKUP($C63,설정!$A$4:$B$12,2,0)-1),진행중!W11)))</f>
        <v/>
      </c>
      <c r="F63">
        <f>IF($A63="","",COUNTIF($A$2:$A63,$A63))</f>
        <v/>
      </c>
      <c r="G63">
        <f>IF($A63="","",$A63&amp;"|"&amp;$F63)</f>
        <v/>
      </c>
    </row>
    <row r="64">
      <c r="A64">
        <f>IF(AND(진행중!D11&lt;&gt;"",진행중!V11&lt;&gt;"",진행중!T11&lt;&gt;"",진행중!T11&lt;&gt;"X",진행중!AA11&lt;&gt;"완료"),진행중!T11,"")</f>
        <v/>
      </c>
      <c r="B64">
        <f>IF($A64="","",진행중!D11)</f>
        <v/>
      </c>
      <c r="C64" t="inlineStr">
        <is>
          <t>조적</t>
        </is>
      </c>
      <c r="D64" s="22">
        <f>IF($A64="","",진행중!V11)</f>
        <v/>
      </c>
      <c r="E64" s="22">
        <f>IF($A64="","",IF(VLOOKUP($C64,설정!$A$4:$B$12,2,0)=0,진행중!W11,MIN(WORKDAY(진행중!V11,VLOOKUP($C64,설정!$A$4:$B$12,2,0)-1),진행중!W11)))</f>
        <v/>
      </c>
      <c r="F64">
        <f>IF($A64="","",COUNTIF($A$2:$A64,$A64))</f>
        <v/>
      </c>
      <c r="G64">
        <f>IF($A64="","",$A64&amp;"|"&amp;$F64)</f>
        <v/>
      </c>
    </row>
    <row r="65">
      <c r="A65">
        <f>IF(AND(진행중!D12&lt;&gt;"",진행중!V12&lt;&gt;"",진행중!L12&lt;&gt;"",진행중!L12&lt;&gt;"X",진행중!AA12&lt;&gt;"완료"),진행중!L12,"")</f>
        <v/>
      </c>
      <c r="B65">
        <f>IF($A65="","",진행중!D12)</f>
        <v/>
      </c>
      <c r="C65" t="inlineStr">
        <is>
          <t>PM</t>
        </is>
      </c>
      <c r="D65" s="22">
        <f>IF($A65="","",진행중!V12)</f>
        <v/>
      </c>
      <c r="E65" s="22">
        <f>IF($A65="","",IF(VLOOKUP($C65,설정!$A$4:$B$12,2,0)=0,진행중!W12,MIN(WORKDAY(진행중!V12,VLOOKUP($C65,설정!$A$4:$B$12,2,0)-1),진행중!W12)))</f>
        <v/>
      </c>
      <c r="F65">
        <f>IF($A65="","",COUNTIF($A$2:$A65,$A65))</f>
        <v/>
      </c>
      <c r="G65">
        <f>IF($A65="","",$A65&amp;"|"&amp;$F65)</f>
        <v/>
      </c>
    </row>
    <row r="66">
      <c r="A66">
        <f>IF(AND(진행중!D12&lt;&gt;"",진행중!V12&lt;&gt;"",진행중!M12&lt;&gt;"",진행중!M12&lt;&gt;"X",진행중!AA12&lt;&gt;"완료"),진행중!M12,"")</f>
        <v/>
      </c>
      <c r="B66">
        <f>IF($A66="","",진행중!D12)</f>
        <v/>
      </c>
      <c r="C66" t="inlineStr">
        <is>
          <t>검토</t>
        </is>
      </c>
      <c r="D66" s="22">
        <f>IF($A66="","",진행중!V12)</f>
        <v/>
      </c>
      <c r="E66" s="22">
        <f>IF($A66="","",IF(VLOOKUP($C66,설정!$A$4:$B$12,2,0)=0,진행중!W12,MIN(WORKDAY(진행중!V12,VLOOKUP($C66,설정!$A$4:$B$12,2,0)-1),진행중!W12)))</f>
        <v/>
      </c>
      <c r="F66">
        <f>IF($A66="","",COUNTIF($A$2:$A66,$A66))</f>
        <v/>
      </c>
      <c r="G66">
        <f>IF($A66="","",$A66&amp;"|"&amp;$F66)</f>
        <v/>
      </c>
    </row>
    <row r="67">
      <c r="A67">
        <f>IF(AND(진행중!D12&lt;&gt;"",진행중!V12&lt;&gt;"",진행중!N12&lt;&gt;"",진행중!N12&lt;&gt;"X",진행중!AA12&lt;&gt;"완료"),진행중!N12,"")</f>
        <v/>
      </c>
      <c r="B67">
        <f>IF($A67="","",진행중!D12)</f>
        <v/>
      </c>
      <c r="C67" t="inlineStr">
        <is>
          <t>내역</t>
        </is>
      </c>
      <c r="D67" s="22">
        <f>IF($A67="","",진행중!V12)</f>
        <v/>
      </c>
      <c r="E67" s="22">
        <f>IF($A67="","",IF(VLOOKUP($C67,설정!$A$4:$B$12,2,0)=0,진행중!W12,MIN(WORKDAY(진행중!V12,VLOOKUP($C67,설정!$A$4:$B$12,2,0)-1),진행중!W12)))</f>
        <v/>
      </c>
      <c r="F67">
        <f>IF($A67="","",COUNTIF($A$2:$A67,$A67))</f>
        <v/>
      </c>
      <c r="G67">
        <f>IF($A67="","",$A67&amp;"|"&amp;$F67)</f>
        <v/>
      </c>
    </row>
    <row r="68">
      <c r="A68">
        <f>IF(AND(진행중!D12&lt;&gt;"",진행중!V12&lt;&gt;"",진행중!O12&lt;&gt;"",진행중!O12&lt;&gt;"X",진행중!AA12&lt;&gt;"완료"),진행중!O12,"")</f>
        <v/>
      </c>
      <c r="B68">
        <f>IF($A68="","",진행중!D12)</f>
        <v/>
      </c>
      <c r="C68" t="inlineStr">
        <is>
          <t>가설</t>
        </is>
      </c>
      <c r="D68" s="22">
        <f>IF($A68="","",진행중!V12)</f>
        <v/>
      </c>
      <c r="E68" s="22">
        <f>IF($A68="","",IF(VLOOKUP($C68,설정!$A$4:$B$12,2,0)=0,진행중!W12,MIN(WORKDAY(진행중!V12,VLOOKUP($C68,설정!$A$4:$B$12,2,0)-1),진행중!W12)))</f>
        <v/>
      </c>
      <c r="F68">
        <f>IF($A68="","",COUNTIF($A$2:$A68,$A68))</f>
        <v/>
      </c>
      <c r="G68">
        <f>IF($A68="","",$A68&amp;"|"&amp;$F68)</f>
        <v/>
      </c>
    </row>
    <row r="69">
      <c r="A69">
        <f>IF(AND(진행중!D12&lt;&gt;"",진행중!V12&lt;&gt;"",진행중!P12&lt;&gt;"",진행중!P12&lt;&gt;"X",진행중!AA12&lt;&gt;"완료"),진행중!P12,"")</f>
        <v/>
      </c>
      <c r="B69">
        <f>IF($A69="","",진행중!D12)</f>
        <v/>
      </c>
      <c r="C69" t="inlineStr">
        <is>
          <t>세대</t>
        </is>
      </c>
      <c r="D69" s="22">
        <f>IF($A69="","",진행중!V12)</f>
        <v/>
      </c>
      <c r="E69" s="22">
        <f>IF($A69="","",IF(VLOOKUP($C69,설정!$A$4:$B$12,2,0)=0,진행중!W12,MIN(WORKDAY(진행중!V12,VLOOKUP($C69,설정!$A$4:$B$12,2,0)-1),진행중!W12)))</f>
        <v/>
      </c>
      <c r="F69">
        <f>IF($A69="","",COUNTIF($A$2:$A69,$A69))</f>
        <v/>
      </c>
      <c r="G69">
        <f>IF($A69="","",$A69&amp;"|"&amp;$F69)</f>
        <v/>
      </c>
    </row>
    <row r="70">
      <c r="A70">
        <f>IF(AND(진행중!D12&lt;&gt;"",진행중!V12&lt;&gt;"",진행중!Q12&lt;&gt;"",진행중!Q12&lt;&gt;"X",진행중!AA12&lt;&gt;"완료"),진행중!Q12,"")</f>
        <v/>
      </c>
      <c r="B70">
        <f>IF($A70="","",진행중!D12)</f>
        <v/>
      </c>
      <c r="C70" t="inlineStr">
        <is>
          <t>내부</t>
        </is>
      </c>
      <c r="D70" s="22">
        <f>IF($A70="","",진행중!V12)</f>
        <v/>
      </c>
      <c r="E70" s="22">
        <f>IF($A70="","",IF(VLOOKUP($C70,설정!$A$4:$B$12,2,0)=0,진행중!W12,MIN(WORKDAY(진행중!V12,VLOOKUP($C70,설정!$A$4:$B$12,2,0)-1),진행중!W12)))</f>
        <v/>
      </c>
      <c r="F70">
        <f>IF($A70="","",COUNTIF($A$2:$A70,$A70))</f>
        <v/>
      </c>
      <c r="G70">
        <f>IF($A70="","",$A70&amp;"|"&amp;$F70)</f>
        <v/>
      </c>
    </row>
    <row r="71">
      <c r="A71">
        <f>IF(AND(진행중!D12&lt;&gt;"",진행중!V12&lt;&gt;"",진행중!R12&lt;&gt;"",진행중!R12&lt;&gt;"X",진행중!AA12&lt;&gt;"완료"),진행중!R12,"")</f>
        <v/>
      </c>
      <c r="B71">
        <f>IF($A71="","",진행중!D12)</f>
        <v/>
      </c>
      <c r="C71" t="inlineStr">
        <is>
          <t>외부</t>
        </is>
      </c>
      <c r="D71" s="22">
        <f>IF($A71="","",진행중!V12)</f>
        <v/>
      </c>
      <c r="E71" s="22">
        <f>IF($A71="","",IF(VLOOKUP($C71,설정!$A$4:$B$12,2,0)=0,진행중!W12,MIN(WORKDAY(진행중!V12,VLOOKUP($C71,설정!$A$4:$B$12,2,0)-1),진행중!W12)))</f>
        <v/>
      </c>
      <c r="F71">
        <f>IF($A71="","",COUNTIF($A$2:$A71,$A71))</f>
        <v/>
      </c>
      <c r="G71">
        <f>IF($A71="","",$A71&amp;"|"&amp;$F71)</f>
        <v/>
      </c>
    </row>
    <row r="72">
      <c r="A72">
        <f>IF(AND(진행중!D12&lt;&gt;"",진행중!V12&lt;&gt;"",진행중!S12&lt;&gt;"",진행중!S12&lt;&gt;"X",진행중!AA12&lt;&gt;"완료"),진행중!S12,"")</f>
        <v/>
      </c>
      <c r="B72">
        <f>IF($A72="","",진행중!D12)</f>
        <v/>
      </c>
      <c r="C72" t="inlineStr">
        <is>
          <t>창호</t>
        </is>
      </c>
      <c r="D72" s="22">
        <f>IF($A72="","",진행중!V12)</f>
        <v/>
      </c>
      <c r="E72" s="22">
        <f>IF($A72="","",IF(VLOOKUP($C72,설정!$A$4:$B$12,2,0)=0,진행중!W12,MIN(WORKDAY(진행중!V12,VLOOKUP($C72,설정!$A$4:$B$12,2,0)-1),진행중!W12)))</f>
        <v/>
      </c>
      <c r="F72">
        <f>IF($A72="","",COUNTIF($A$2:$A72,$A72))</f>
        <v/>
      </c>
      <c r="G72">
        <f>IF($A72="","",$A72&amp;"|"&amp;$F72)</f>
        <v/>
      </c>
    </row>
    <row r="73">
      <c r="A73">
        <f>IF(AND(진행중!D12&lt;&gt;"",진행중!V12&lt;&gt;"",진행중!T12&lt;&gt;"",진행중!T12&lt;&gt;"X",진행중!AA12&lt;&gt;"완료"),진행중!T12,"")</f>
        <v/>
      </c>
      <c r="B73">
        <f>IF($A73="","",진행중!D12)</f>
        <v/>
      </c>
      <c r="C73" t="inlineStr">
        <is>
          <t>조적</t>
        </is>
      </c>
      <c r="D73" s="22">
        <f>IF($A73="","",진행중!V12)</f>
        <v/>
      </c>
      <c r="E73" s="22">
        <f>IF($A73="","",IF(VLOOKUP($C73,설정!$A$4:$B$12,2,0)=0,진행중!W12,MIN(WORKDAY(진행중!V12,VLOOKUP($C73,설정!$A$4:$B$12,2,0)-1),진행중!W12)))</f>
        <v/>
      </c>
      <c r="F73">
        <f>IF($A73="","",COUNTIF($A$2:$A73,$A73))</f>
        <v/>
      </c>
      <c r="G73">
        <f>IF($A73="","",$A73&amp;"|"&amp;$F73)</f>
        <v/>
      </c>
    </row>
    <row r="74">
      <c r="A74">
        <f>IF(AND(진행중!D13&lt;&gt;"",진행중!V13&lt;&gt;"",진행중!L13&lt;&gt;"",진행중!L13&lt;&gt;"X",진행중!AA13&lt;&gt;"완료"),진행중!L13,"")</f>
        <v/>
      </c>
      <c r="B74">
        <f>IF($A74="","",진행중!D13)</f>
        <v/>
      </c>
      <c r="C74" t="inlineStr">
        <is>
          <t>PM</t>
        </is>
      </c>
      <c r="D74" s="22">
        <f>IF($A74="","",진행중!V13)</f>
        <v/>
      </c>
      <c r="E74" s="22">
        <f>IF($A74="","",IF(VLOOKUP($C74,설정!$A$4:$B$12,2,0)=0,진행중!W13,MIN(WORKDAY(진행중!V13,VLOOKUP($C74,설정!$A$4:$B$12,2,0)-1),진행중!W13)))</f>
        <v/>
      </c>
      <c r="F74">
        <f>IF($A74="","",COUNTIF($A$2:$A74,$A74))</f>
        <v/>
      </c>
      <c r="G74">
        <f>IF($A74="","",$A74&amp;"|"&amp;$F74)</f>
        <v/>
      </c>
    </row>
    <row r="75">
      <c r="A75">
        <f>IF(AND(진행중!D13&lt;&gt;"",진행중!V13&lt;&gt;"",진행중!M13&lt;&gt;"",진행중!M13&lt;&gt;"X",진행중!AA13&lt;&gt;"완료"),진행중!M13,"")</f>
        <v/>
      </c>
      <c r="B75">
        <f>IF($A75="","",진행중!D13)</f>
        <v/>
      </c>
      <c r="C75" t="inlineStr">
        <is>
          <t>검토</t>
        </is>
      </c>
      <c r="D75" s="22">
        <f>IF($A75="","",진행중!V13)</f>
        <v/>
      </c>
      <c r="E75" s="22">
        <f>IF($A75="","",IF(VLOOKUP($C75,설정!$A$4:$B$12,2,0)=0,진행중!W13,MIN(WORKDAY(진행중!V13,VLOOKUP($C75,설정!$A$4:$B$12,2,0)-1),진행중!W13)))</f>
        <v/>
      </c>
      <c r="F75">
        <f>IF($A75="","",COUNTIF($A$2:$A75,$A75))</f>
        <v/>
      </c>
      <c r="G75">
        <f>IF($A75="","",$A75&amp;"|"&amp;$F75)</f>
        <v/>
      </c>
    </row>
    <row r="76">
      <c r="A76">
        <f>IF(AND(진행중!D13&lt;&gt;"",진행중!V13&lt;&gt;"",진행중!N13&lt;&gt;"",진행중!N13&lt;&gt;"X",진행중!AA13&lt;&gt;"완료"),진행중!N13,"")</f>
        <v/>
      </c>
      <c r="B76">
        <f>IF($A76="","",진행중!D13)</f>
        <v/>
      </c>
      <c r="C76" t="inlineStr">
        <is>
          <t>내역</t>
        </is>
      </c>
      <c r="D76" s="22">
        <f>IF($A76="","",진행중!V13)</f>
        <v/>
      </c>
      <c r="E76" s="22">
        <f>IF($A76="","",IF(VLOOKUP($C76,설정!$A$4:$B$12,2,0)=0,진행중!W13,MIN(WORKDAY(진행중!V13,VLOOKUP($C76,설정!$A$4:$B$12,2,0)-1),진행중!W13)))</f>
        <v/>
      </c>
      <c r="F76">
        <f>IF($A76="","",COUNTIF($A$2:$A76,$A76))</f>
        <v/>
      </c>
      <c r="G76">
        <f>IF($A76="","",$A76&amp;"|"&amp;$F76)</f>
        <v/>
      </c>
    </row>
    <row r="77">
      <c r="A77">
        <f>IF(AND(진행중!D13&lt;&gt;"",진행중!V13&lt;&gt;"",진행중!O13&lt;&gt;"",진행중!O13&lt;&gt;"X",진행중!AA13&lt;&gt;"완료"),진행중!O13,"")</f>
        <v/>
      </c>
      <c r="B77">
        <f>IF($A77="","",진행중!D13)</f>
        <v/>
      </c>
      <c r="C77" t="inlineStr">
        <is>
          <t>가설</t>
        </is>
      </c>
      <c r="D77" s="22">
        <f>IF($A77="","",진행중!V13)</f>
        <v/>
      </c>
      <c r="E77" s="22">
        <f>IF($A77="","",IF(VLOOKUP($C77,설정!$A$4:$B$12,2,0)=0,진행중!W13,MIN(WORKDAY(진행중!V13,VLOOKUP($C77,설정!$A$4:$B$12,2,0)-1),진행중!W13)))</f>
        <v/>
      </c>
      <c r="F77">
        <f>IF($A77="","",COUNTIF($A$2:$A77,$A77))</f>
        <v/>
      </c>
      <c r="G77">
        <f>IF($A77="","",$A77&amp;"|"&amp;$F77)</f>
        <v/>
      </c>
    </row>
    <row r="78">
      <c r="A78">
        <f>IF(AND(진행중!D13&lt;&gt;"",진행중!V13&lt;&gt;"",진행중!P13&lt;&gt;"",진행중!P13&lt;&gt;"X",진행중!AA13&lt;&gt;"완료"),진행중!P13,"")</f>
        <v/>
      </c>
      <c r="B78">
        <f>IF($A78="","",진행중!D13)</f>
        <v/>
      </c>
      <c r="C78" t="inlineStr">
        <is>
          <t>세대</t>
        </is>
      </c>
      <c r="D78" s="22">
        <f>IF($A78="","",진행중!V13)</f>
        <v/>
      </c>
      <c r="E78" s="22">
        <f>IF($A78="","",IF(VLOOKUP($C78,설정!$A$4:$B$12,2,0)=0,진행중!W13,MIN(WORKDAY(진행중!V13,VLOOKUP($C78,설정!$A$4:$B$12,2,0)-1),진행중!W13)))</f>
        <v/>
      </c>
      <c r="F78">
        <f>IF($A78="","",COUNTIF($A$2:$A78,$A78))</f>
        <v/>
      </c>
      <c r="G78">
        <f>IF($A78="","",$A78&amp;"|"&amp;$F78)</f>
        <v/>
      </c>
    </row>
    <row r="79">
      <c r="A79">
        <f>IF(AND(진행중!D13&lt;&gt;"",진행중!V13&lt;&gt;"",진행중!Q13&lt;&gt;"",진행중!Q13&lt;&gt;"X",진행중!AA13&lt;&gt;"완료"),진행중!Q13,"")</f>
        <v/>
      </c>
      <c r="B79">
        <f>IF($A79="","",진행중!D13)</f>
        <v/>
      </c>
      <c r="C79" t="inlineStr">
        <is>
          <t>내부</t>
        </is>
      </c>
      <c r="D79" s="22">
        <f>IF($A79="","",진행중!V13)</f>
        <v/>
      </c>
      <c r="E79" s="22">
        <f>IF($A79="","",IF(VLOOKUP($C79,설정!$A$4:$B$12,2,0)=0,진행중!W13,MIN(WORKDAY(진행중!V13,VLOOKUP($C79,설정!$A$4:$B$12,2,0)-1),진행중!W13)))</f>
        <v/>
      </c>
      <c r="F79">
        <f>IF($A79="","",COUNTIF($A$2:$A79,$A79))</f>
        <v/>
      </c>
      <c r="G79">
        <f>IF($A79="","",$A79&amp;"|"&amp;$F79)</f>
        <v/>
      </c>
    </row>
    <row r="80">
      <c r="A80">
        <f>IF(AND(진행중!D13&lt;&gt;"",진행중!V13&lt;&gt;"",진행중!R13&lt;&gt;"",진행중!R13&lt;&gt;"X",진행중!AA13&lt;&gt;"완료"),진행중!R13,"")</f>
        <v/>
      </c>
      <c r="B80">
        <f>IF($A80="","",진행중!D13)</f>
        <v/>
      </c>
      <c r="C80" t="inlineStr">
        <is>
          <t>외부</t>
        </is>
      </c>
      <c r="D80" s="22">
        <f>IF($A80="","",진행중!V13)</f>
        <v/>
      </c>
      <c r="E80" s="22">
        <f>IF($A80="","",IF(VLOOKUP($C80,설정!$A$4:$B$12,2,0)=0,진행중!W13,MIN(WORKDAY(진행중!V13,VLOOKUP($C80,설정!$A$4:$B$12,2,0)-1),진행중!W13)))</f>
        <v/>
      </c>
      <c r="F80">
        <f>IF($A80="","",COUNTIF($A$2:$A80,$A80))</f>
        <v/>
      </c>
      <c r="G80">
        <f>IF($A80="","",$A80&amp;"|"&amp;$F80)</f>
        <v/>
      </c>
    </row>
    <row r="81">
      <c r="A81">
        <f>IF(AND(진행중!D13&lt;&gt;"",진행중!V13&lt;&gt;"",진행중!S13&lt;&gt;"",진행중!S13&lt;&gt;"X",진행중!AA13&lt;&gt;"완료"),진행중!S13,"")</f>
        <v/>
      </c>
      <c r="B81">
        <f>IF($A81="","",진행중!D13)</f>
        <v/>
      </c>
      <c r="C81" t="inlineStr">
        <is>
          <t>창호</t>
        </is>
      </c>
      <c r="D81" s="22">
        <f>IF($A81="","",진행중!V13)</f>
        <v/>
      </c>
      <c r="E81" s="22">
        <f>IF($A81="","",IF(VLOOKUP($C81,설정!$A$4:$B$12,2,0)=0,진행중!W13,MIN(WORKDAY(진행중!V13,VLOOKUP($C81,설정!$A$4:$B$12,2,0)-1),진행중!W13)))</f>
        <v/>
      </c>
      <c r="F81">
        <f>IF($A81="","",COUNTIF($A$2:$A81,$A81))</f>
        <v/>
      </c>
      <c r="G81">
        <f>IF($A81="","",$A81&amp;"|"&amp;$F81)</f>
        <v/>
      </c>
    </row>
    <row r="82">
      <c r="A82">
        <f>IF(AND(진행중!D13&lt;&gt;"",진행중!V13&lt;&gt;"",진행중!T13&lt;&gt;"",진행중!T13&lt;&gt;"X",진행중!AA13&lt;&gt;"완료"),진행중!T13,"")</f>
        <v/>
      </c>
      <c r="B82">
        <f>IF($A82="","",진행중!D13)</f>
        <v/>
      </c>
      <c r="C82" t="inlineStr">
        <is>
          <t>조적</t>
        </is>
      </c>
      <c r="D82" s="22">
        <f>IF($A82="","",진행중!V13)</f>
        <v/>
      </c>
      <c r="E82" s="22">
        <f>IF($A82="","",IF(VLOOKUP($C82,설정!$A$4:$B$12,2,0)=0,진행중!W13,MIN(WORKDAY(진행중!V13,VLOOKUP($C82,설정!$A$4:$B$12,2,0)-1),진행중!W13)))</f>
        <v/>
      </c>
      <c r="F82">
        <f>IF($A82="","",COUNTIF($A$2:$A82,$A82))</f>
        <v/>
      </c>
      <c r="G82">
        <f>IF($A82="","",$A82&amp;"|"&amp;$F82)</f>
        <v/>
      </c>
    </row>
    <row r="83">
      <c r="A83">
        <f>IF(AND(진행중!D14&lt;&gt;"",진행중!V14&lt;&gt;"",진행중!L14&lt;&gt;"",진행중!L14&lt;&gt;"X",진행중!AA14&lt;&gt;"완료"),진행중!L14,"")</f>
        <v/>
      </c>
      <c r="B83">
        <f>IF($A83="","",진행중!D14)</f>
        <v/>
      </c>
      <c r="C83" t="inlineStr">
        <is>
          <t>PM</t>
        </is>
      </c>
      <c r="D83" s="22">
        <f>IF($A83="","",진행중!V14)</f>
        <v/>
      </c>
      <c r="E83" s="22">
        <f>IF($A83="","",IF(VLOOKUP($C83,설정!$A$4:$B$12,2,0)=0,진행중!W14,MIN(WORKDAY(진행중!V14,VLOOKUP($C83,설정!$A$4:$B$12,2,0)-1),진행중!W14)))</f>
        <v/>
      </c>
      <c r="F83">
        <f>IF($A83="","",COUNTIF($A$2:$A83,$A83))</f>
        <v/>
      </c>
      <c r="G83">
        <f>IF($A83="","",$A83&amp;"|"&amp;$F83)</f>
        <v/>
      </c>
    </row>
    <row r="84">
      <c r="A84">
        <f>IF(AND(진행중!D14&lt;&gt;"",진행중!V14&lt;&gt;"",진행중!M14&lt;&gt;"",진행중!M14&lt;&gt;"X",진행중!AA14&lt;&gt;"완료"),진행중!M14,"")</f>
        <v/>
      </c>
      <c r="B84">
        <f>IF($A84="","",진행중!D14)</f>
        <v/>
      </c>
      <c r="C84" t="inlineStr">
        <is>
          <t>검토</t>
        </is>
      </c>
      <c r="D84" s="22">
        <f>IF($A84="","",진행중!V14)</f>
        <v/>
      </c>
      <c r="E84" s="22">
        <f>IF($A84="","",IF(VLOOKUP($C84,설정!$A$4:$B$12,2,0)=0,진행중!W14,MIN(WORKDAY(진행중!V14,VLOOKUP($C84,설정!$A$4:$B$12,2,0)-1),진행중!W14)))</f>
        <v/>
      </c>
      <c r="F84">
        <f>IF($A84="","",COUNTIF($A$2:$A84,$A84))</f>
        <v/>
      </c>
      <c r="G84">
        <f>IF($A84="","",$A84&amp;"|"&amp;$F84)</f>
        <v/>
      </c>
    </row>
    <row r="85">
      <c r="A85">
        <f>IF(AND(진행중!D14&lt;&gt;"",진행중!V14&lt;&gt;"",진행중!N14&lt;&gt;"",진행중!N14&lt;&gt;"X",진행중!AA14&lt;&gt;"완료"),진행중!N14,"")</f>
        <v/>
      </c>
      <c r="B85">
        <f>IF($A85="","",진행중!D14)</f>
        <v/>
      </c>
      <c r="C85" t="inlineStr">
        <is>
          <t>내역</t>
        </is>
      </c>
      <c r="D85" s="22">
        <f>IF($A85="","",진행중!V14)</f>
        <v/>
      </c>
      <c r="E85" s="22">
        <f>IF($A85="","",IF(VLOOKUP($C85,설정!$A$4:$B$12,2,0)=0,진행중!W14,MIN(WORKDAY(진행중!V14,VLOOKUP($C85,설정!$A$4:$B$12,2,0)-1),진행중!W14)))</f>
        <v/>
      </c>
      <c r="F85">
        <f>IF($A85="","",COUNTIF($A$2:$A85,$A85))</f>
        <v/>
      </c>
      <c r="G85">
        <f>IF($A85="","",$A85&amp;"|"&amp;$F85)</f>
        <v/>
      </c>
    </row>
    <row r="86">
      <c r="A86">
        <f>IF(AND(진행중!D14&lt;&gt;"",진행중!V14&lt;&gt;"",진행중!O14&lt;&gt;"",진행중!O14&lt;&gt;"X",진행중!AA14&lt;&gt;"완료"),진행중!O14,"")</f>
        <v/>
      </c>
      <c r="B86">
        <f>IF($A86="","",진행중!D14)</f>
        <v/>
      </c>
      <c r="C86" t="inlineStr">
        <is>
          <t>가설</t>
        </is>
      </c>
      <c r="D86" s="22">
        <f>IF($A86="","",진행중!V14)</f>
        <v/>
      </c>
      <c r="E86" s="22">
        <f>IF($A86="","",IF(VLOOKUP($C86,설정!$A$4:$B$12,2,0)=0,진행중!W14,MIN(WORKDAY(진행중!V14,VLOOKUP($C86,설정!$A$4:$B$12,2,0)-1),진행중!W14)))</f>
        <v/>
      </c>
      <c r="F86">
        <f>IF($A86="","",COUNTIF($A$2:$A86,$A86))</f>
        <v/>
      </c>
      <c r="G86">
        <f>IF($A86="","",$A86&amp;"|"&amp;$F86)</f>
        <v/>
      </c>
    </row>
    <row r="87">
      <c r="A87">
        <f>IF(AND(진행중!D14&lt;&gt;"",진행중!V14&lt;&gt;"",진행중!P14&lt;&gt;"",진행중!P14&lt;&gt;"X",진행중!AA14&lt;&gt;"완료"),진행중!P14,"")</f>
        <v/>
      </c>
      <c r="B87">
        <f>IF($A87="","",진행중!D14)</f>
        <v/>
      </c>
      <c r="C87" t="inlineStr">
        <is>
          <t>세대</t>
        </is>
      </c>
      <c r="D87" s="22">
        <f>IF($A87="","",진행중!V14)</f>
        <v/>
      </c>
      <c r="E87" s="22">
        <f>IF($A87="","",IF(VLOOKUP($C87,설정!$A$4:$B$12,2,0)=0,진행중!W14,MIN(WORKDAY(진행중!V14,VLOOKUP($C87,설정!$A$4:$B$12,2,0)-1),진행중!W14)))</f>
        <v/>
      </c>
      <c r="F87">
        <f>IF($A87="","",COUNTIF($A$2:$A87,$A87))</f>
        <v/>
      </c>
      <c r="G87">
        <f>IF($A87="","",$A87&amp;"|"&amp;$F87)</f>
        <v/>
      </c>
    </row>
    <row r="88">
      <c r="A88">
        <f>IF(AND(진행중!D14&lt;&gt;"",진행중!V14&lt;&gt;"",진행중!Q14&lt;&gt;"",진행중!Q14&lt;&gt;"X",진행중!AA14&lt;&gt;"완료"),진행중!Q14,"")</f>
        <v/>
      </c>
      <c r="B88">
        <f>IF($A88="","",진행중!D14)</f>
        <v/>
      </c>
      <c r="C88" t="inlineStr">
        <is>
          <t>내부</t>
        </is>
      </c>
      <c r="D88" s="22">
        <f>IF($A88="","",진행중!V14)</f>
        <v/>
      </c>
      <c r="E88" s="22">
        <f>IF($A88="","",IF(VLOOKUP($C88,설정!$A$4:$B$12,2,0)=0,진행중!W14,MIN(WORKDAY(진행중!V14,VLOOKUP($C88,설정!$A$4:$B$12,2,0)-1),진행중!W14)))</f>
        <v/>
      </c>
      <c r="F88">
        <f>IF($A88="","",COUNTIF($A$2:$A88,$A88))</f>
        <v/>
      </c>
      <c r="G88">
        <f>IF($A88="","",$A88&amp;"|"&amp;$F88)</f>
        <v/>
      </c>
    </row>
    <row r="89">
      <c r="A89">
        <f>IF(AND(진행중!D14&lt;&gt;"",진행중!V14&lt;&gt;"",진행중!R14&lt;&gt;"",진행중!R14&lt;&gt;"X",진행중!AA14&lt;&gt;"완료"),진행중!R14,"")</f>
        <v/>
      </c>
      <c r="B89">
        <f>IF($A89="","",진행중!D14)</f>
        <v/>
      </c>
      <c r="C89" t="inlineStr">
        <is>
          <t>외부</t>
        </is>
      </c>
      <c r="D89" s="22">
        <f>IF($A89="","",진행중!V14)</f>
        <v/>
      </c>
      <c r="E89" s="22">
        <f>IF($A89="","",IF(VLOOKUP($C89,설정!$A$4:$B$12,2,0)=0,진행중!W14,MIN(WORKDAY(진행중!V14,VLOOKUP($C89,설정!$A$4:$B$12,2,0)-1),진행중!W14)))</f>
        <v/>
      </c>
      <c r="F89">
        <f>IF($A89="","",COUNTIF($A$2:$A89,$A89))</f>
        <v/>
      </c>
      <c r="G89">
        <f>IF($A89="","",$A89&amp;"|"&amp;$F89)</f>
        <v/>
      </c>
    </row>
    <row r="90">
      <c r="A90">
        <f>IF(AND(진행중!D14&lt;&gt;"",진행중!V14&lt;&gt;"",진행중!S14&lt;&gt;"",진행중!S14&lt;&gt;"X",진행중!AA14&lt;&gt;"완료"),진행중!S14,"")</f>
        <v/>
      </c>
      <c r="B90">
        <f>IF($A90="","",진행중!D14)</f>
        <v/>
      </c>
      <c r="C90" t="inlineStr">
        <is>
          <t>창호</t>
        </is>
      </c>
      <c r="D90" s="22">
        <f>IF($A90="","",진행중!V14)</f>
        <v/>
      </c>
      <c r="E90" s="22">
        <f>IF($A90="","",IF(VLOOKUP($C90,설정!$A$4:$B$12,2,0)=0,진행중!W14,MIN(WORKDAY(진행중!V14,VLOOKUP($C90,설정!$A$4:$B$12,2,0)-1),진행중!W14)))</f>
        <v/>
      </c>
      <c r="F90">
        <f>IF($A90="","",COUNTIF($A$2:$A90,$A90))</f>
        <v/>
      </c>
      <c r="G90">
        <f>IF($A90="","",$A90&amp;"|"&amp;$F90)</f>
        <v/>
      </c>
    </row>
    <row r="91">
      <c r="A91">
        <f>IF(AND(진행중!D14&lt;&gt;"",진행중!V14&lt;&gt;"",진행중!T14&lt;&gt;"",진행중!T14&lt;&gt;"X",진행중!AA14&lt;&gt;"완료"),진행중!T14,"")</f>
        <v/>
      </c>
      <c r="B91">
        <f>IF($A91="","",진행중!D14)</f>
        <v/>
      </c>
      <c r="C91" t="inlineStr">
        <is>
          <t>조적</t>
        </is>
      </c>
      <c r="D91" s="22">
        <f>IF($A91="","",진행중!V14)</f>
        <v/>
      </c>
      <c r="E91" s="22">
        <f>IF($A91="","",IF(VLOOKUP($C91,설정!$A$4:$B$12,2,0)=0,진행중!W14,MIN(WORKDAY(진행중!V14,VLOOKUP($C91,설정!$A$4:$B$12,2,0)-1),진행중!W14)))</f>
        <v/>
      </c>
      <c r="F91">
        <f>IF($A91="","",COUNTIF($A$2:$A91,$A91))</f>
        <v/>
      </c>
      <c r="G91">
        <f>IF($A91="","",$A91&amp;"|"&amp;$F91)</f>
        <v/>
      </c>
    </row>
    <row r="92">
      <c r="A92">
        <f>IF(AND(진행중!D15&lt;&gt;"",진행중!V15&lt;&gt;"",진행중!L15&lt;&gt;"",진행중!L15&lt;&gt;"X",진행중!AA15&lt;&gt;"완료"),진행중!L15,"")</f>
        <v/>
      </c>
      <c r="B92">
        <f>IF($A92="","",진행중!D15)</f>
        <v/>
      </c>
      <c r="C92" t="inlineStr">
        <is>
          <t>PM</t>
        </is>
      </c>
      <c r="D92" s="22">
        <f>IF($A92="","",진행중!V15)</f>
        <v/>
      </c>
      <c r="E92" s="22">
        <f>IF($A92="","",IF(VLOOKUP($C92,설정!$A$4:$B$12,2,0)=0,진행중!W15,MIN(WORKDAY(진행중!V15,VLOOKUP($C92,설정!$A$4:$B$12,2,0)-1),진행중!W15)))</f>
        <v/>
      </c>
      <c r="F92">
        <f>IF($A92="","",COUNTIF($A$2:$A92,$A92))</f>
        <v/>
      </c>
      <c r="G92">
        <f>IF($A92="","",$A92&amp;"|"&amp;$F92)</f>
        <v/>
      </c>
    </row>
    <row r="93">
      <c r="A93">
        <f>IF(AND(진행중!D15&lt;&gt;"",진행중!V15&lt;&gt;"",진행중!M15&lt;&gt;"",진행중!M15&lt;&gt;"X",진행중!AA15&lt;&gt;"완료"),진행중!M15,"")</f>
        <v/>
      </c>
      <c r="B93">
        <f>IF($A93="","",진행중!D15)</f>
        <v/>
      </c>
      <c r="C93" t="inlineStr">
        <is>
          <t>검토</t>
        </is>
      </c>
      <c r="D93" s="22">
        <f>IF($A93="","",진행중!V15)</f>
        <v/>
      </c>
      <c r="E93" s="22">
        <f>IF($A93="","",IF(VLOOKUP($C93,설정!$A$4:$B$12,2,0)=0,진행중!W15,MIN(WORKDAY(진행중!V15,VLOOKUP($C93,설정!$A$4:$B$12,2,0)-1),진행중!W15)))</f>
        <v/>
      </c>
      <c r="F93">
        <f>IF($A93="","",COUNTIF($A$2:$A93,$A93))</f>
        <v/>
      </c>
      <c r="G93">
        <f>IF($A93="","",$A93&amp;"|"&amp;$F93)</f>
        <v/>
      </c>
    </row>
    <row r="94">
      <c r="A94">
        <f>IF(AND(진행중!D15&lt;&gt;"",진행중!V15&lt;&gt;"",진행중!N15&lt;&gt;"",진행중!N15&lt;&gt;"X",진행중!AA15&lt;&gt;"완료"),진행중!N15,"")</f>
        <v/>
      </c>
      <c r="B94">
        <f>IF($A94="","",진행중!D15)</f>
        <v/>
      </c>
      <c r="C94" t="inlineStr">
        <is>
          <t>내역</t>
        </is>
      </c>
      <c r="D94" s="22">
        <f>IF($A94="","",진행중!V15)</f>
        <v/>
      </c>
      <c r="E94" s="22">
        <f>IF($A94="","",IF(VLOOKUP($C94,설정!$A$4:$B$12,2,0)=0,진행중!W15,MIN(WORKDAY(진행중!V15,VLOOKUP($C94,설정!$A$4:$B$12,2,0)-1),진행중!W15)))</f>
        <v/>
      </c>
      <c r="F94">
        <f>IF($A94="","",COUNTIF($A$2:$A94,$A94))</f>
        <v/>
      </c>
      <c r="G94">
        <f>IF($A94="","",$A94&amp;"|"&amp;$F94)</f>
        <v/>
      </c>
    </row>
    <row r="95">
      <c r="A95">
        <f>IF(AND(진행중!D15&lt;&gt;"",진행중!V15&lt;&gt;"",진행중!O15&lt;&gt;"",진행중!O15&lt;&gt;"X",진행중!AA15&lt;&gt;"완료"),진행중!O15,"")</f>
        <v/>
      </c>
      <c r="B95">
        <f>IF($A95="","",진행중!D15)</f>
        <v/>
      </c>
      <c r="C95" t="inlineStr">
        <is>
          <t>가설</t>
        </is>
      </c>
      <c r="D95" s="22">
        <f>IF($A95="","",진행중!V15)</f>
        <v/>
      </c>
      <c r="E95" s="22">
        <f>IF($A95="","",IF(VLOOKUP($C95,설정!$A$4:$B$12,2,0)=0,진행중!W15,MIN(WORKDAY(진행중!V15,VLOOKUP($C95,설정!$A$4:$B$12,2,0)-1),진행중!W15)))</f>
        <v/>
      </c>
      <c r="F95">
        <f>IF($A95="","",COUNTIF($A$2:$A95,$A95))</f>
        <v/>
      </c>
      <c r="G95">
        <f>IF($A95="","",$A95&amp;"|"&amp;$F95)</f>
        <v/>
      </c>
    </row>
    <row r="96">
      <c r="A96">
        <f>IF(AND(진행중!D15&lt;&gt;"",진행중!V15&lt;&gt;"",진행중!P15&lt;&gt;"",진행중!P15&lt;&gt;"X",진행중!AA15&lt;&gt;"완료"),진행중!P15,"")</f>
        <v/>
      </c>
      <c r="B96">
        <f>IF($A96="","",진행중!D15)</f>
        <v/>
      </c>
      <c r="C96" t="inlineStr">
        <is>
          <t>세대</t>
        </is>
      </c>
      <c r="D96" s="22">
        <f>IF($A96="","",진행중!V15)</f>
        <v/>
      </c>
      <c r="E96" s="22">
        <f>IF($A96="","",IF(VLOOKUP($C96,설정!$A$4:$B$12,2,0)=0,진행중!W15,MIN(WORKDAY(진행중!V15,VLOOKUP($C96,설정!$A$4:$B$12,2,0)-1),진행중!W15)))</f>
        <v/>
      </c>
      <c r="F96">
        <f>IF($A96="","",COUNTIF($A$2:$A96,$A96))</f>
        <v/>
      </c>
      <c r="G96">
        <f>IF($A96="","",$A96&amp;"|"&amp;$F96)</f>
        <v/>
      </c>
    </row>
    <row r="97">
      <c r="A97">
        <f>IF(AND(진행중!D15&lt;&gt;"",진행중!V15&lt;&gt;"",진행중!Q15&lt;&gt;"",진행중!Q15&lt;&gt;"X",진행중!AA15&lt;&gt;"완료"),진행중!Q15,"")</f>
        <v/>
      </c>
      <c r="B97">
        <f>IF($A97="","",진행중!D15)</f>
        <v/>
      </c>
      <c r="C97" t="inlineStr">
        <is>
          <t>내부</t>
        </is>
      </c>
      <c r="D97" s="22">
        <f>IF($A97="","",진행중!V15)</f>
        <v/>
      </c>
      <c r="E97" s="22">
        <f>IF($A97="","",IF(VLOOKUP($C97,설정!$A$4:$B$12,2,0)=0,진행중!W15,MIN(WORKDAY(진행중!V15,VLOOKUP($C97,설정!$A$4:$B$12,2,0)-1),진행중!W15)))</f>
        <v/>
      </c>
      <c r="F97">
        <f>IF($A97="","",COUNTIF($A$2:$A97,$A97))</f>
        <v/>
      </c>
      <c r="G97">
        <f>IF($A97="","",$A97&amp;"|"&amp;$F97)</f>
        <v/>
      </c>
    </row>
    <row r="98">
      <c r="A98">
        <f>IF(AND(진행중!D15&lt;&gt;"",진행중!V15&lt;&gt;"",진행중!R15&lt;&gt;"",진행중!R15&lt;&gt;"X",진행중!AA15&lt;&gt;"완료"),진행중!R15,"")</f>
        <v/>
      </c>
      <c r="B98">
        <f>IF($A98="","",진행중!D15)</f>
        <v/>
      </c>
      <c r="C98" t="inlineStr">
        <is>
          <t>외부</t>
        </is>
      </c>
      <c r="D98" s="22">
        <f>IF($A98="","",진행중!V15)</f>
        <v/>
      </c>
      <c r="E98" s="22">
        <f>IF($A98="","",IF(VLOOKUP($C98,설정!$A$4:$B$12,2,0)=0,진행중!W15,MIN(WORKDAY(진행중!V15,VLOOKUP($C98,설정!$A$4:$B$12,2,0)-1),진행중!W15)))</f>
        <v/>
      </c>
      <c r="F98">
        <f>IF($A98="","",COUNTIF($A$2:$A98,$A98))</f>
        <v/>
      </c>
      <c r="G98">
        <f>IF($A98="","",$A98&amp;"|"&amp;$F98)</f>
        <v/>
      </c>
    </row>
    <row r="99">
      <c r="A99">
        <f>IF(AND(진행중!D15&lt;&gt;"",진행중!V15&lt;&gt;"",진행중!S15&lt;&gt;"",진행중!S15&lt;&gt;"X",진행중!AA15&lt;&gt;"완료"),진행중!S15,"")</f>
        <v/>
      </c>
      <c r="B99">
        <f>IF($A99="","",진행중!D15)</f>
        <v/>
      </c>
      <c r="C99" t="inlineStr">
        <is>
          <t>창호</t>
        </is>
      </c>
      <c r="D99" s="22">
        <f>IF($A99="","",진행중!V15)</f>
        <v/>
      </c>
      <c r="E99" s="22">
        <f>IF($A99="","",IF(VLOOKUP($C99,설정!$A$4:$B$12,2,0)=0,진행중!W15,MIN(WORKDAY(진행중!V15,VLOOKUP($C99,설정!$A$4:$B$12,2,0)-1),진행중!W15)))</f>
        <v/>
      </c>
      <c r="F99">
        <f>IF($A99="","",COUNTIF($A$2:$A99,$A99))</f>
        <v/>
      </c>
      <c r="G99">
        <f>IF($A99="","",$A99&amp;"|"&amp;$F99)</f>
        <v/>
      </c>
    </row>
    <row r="100">
      <c r="A100">
        <f>IF(AND(진행중!D15&lt;&gt;"",진행중!V15&lt;&gt;"",진행중!T15&lt;&gt;"",진행중!T15&lt;&gt;"X",진행중!AA15&lt;&gt;"완료"),진행중!T15,"")</f>
        <v/>
      </c>
      <c r="B100">
        <f>IF($A100="","",진행중!D15)</f>
        <v/>
      </c>
      <c r="C100" t="inlineStr">
        <is>
          <t>조적</t>
        </is>
      </c>
      <c r="D100" s="22">
        <f>IF($A100="","",진행중!V15)</f>
        <v/>
      </c>
      <c r="E100" s="22">
        <f>IF($A100="","",IF(VLOOKUP($C100,설정!$A$4:$B$12,2,0)=0,진행중!W15,MIN(WORKDAY(진행중!V15,VLOOKUP($C100,설정!$A$4:$B$12,2,0)-1),진행중!W15)))</f>
        <v/>
      </c>
      <c r="F100">
        <f>IF($A100="","",COUNTIF($A$2:$A100,$A100))</f>
        <v/>
      </c>
      <c r="G100">
        <f>IF($A100="","",$A100&amp;"|"&amp;$F100)</f>
        <v/>
      </c>
    </row>
    <row r="101">
      <c r="A101">
        <f>IF(AND(진행중!D16&lt;&gt;"",진행중!V16&lt;&gt;"",진행중!L16&lt;&gt;"",진행중!L16&lt;&gt;"X",진행중!AA16&lt;&gt;"완료"),진행중!L16,"")</f>
        <v/>
      </c>
      <c r="B101">
        <f>IF($A101="","",진행중!D16)</f>
        <v/>
      </c>
      <c r="C101" t="inlineStr">
        <is>
          <t>PM</t>
        </is>
      </c>
      <c r="D101" s="22">
        <f>IF($A101="","",진행중!V16)</f>
        <v/>
      </c>
      <c r="E101" s="22">
        <f>IF($A101="","",IF(VLOOKUP($C101,설정!$A$4:$B$12,2,0)=0,진행중!W16,MIN(WORKDAY(진행중!V16,VLOOKUP($C101,설정!$A$4:$B$12,2,0)-1),진행중!W16)))</f>
        <v/>
      </c>
      <c r="F101">
        <f>IF($A101="","",COUNTIF($A$2:$A101,$A101))</f>
        <v/>
      </c>
      <c r="G101">
        <f>IF($A101="","",$A101&amp;"|"&amp;$F101)</f>
        <v/>
      </c>
    </row>
    <row r="102">
      <c r="A102">
        <f>IF(AND(진행중!D16&lt;&gt;"",진행중!V16&lt;&gt;"",진행중!M16&lt;&gt;"",진행중!M16&lt;&gt;"X",진행중!AA16&lt;&gt;"완료"),진행중!M16,"")</f>
        <v/>
      </c>
      <c r="B102">
        <f>IF($A102="","",진행중!D16)</f>
        <v/>
      </c>
      <c r="C102" t="inlineStr">
        <is>
          <t>검토</t>
        </is>
      </c>
      <c r="D102" s="22">
        <f>IF($A102="","",진행중!V16)</f>
        <v/>
      </c>
      <c r="E102" s="22">
        <f>IF($A102="","",IF(VLOOKUP($C102,설정!$A$4:$B$12,2,0)=0,진행중!W16,MIN(WORKDAY(진행중!V16,VLOOKUP($C102,설정!$A$4:$B$12,2,0)-1),진행중!W16)))</f>
        <v/>
      </c>
      <c r="F102">
        <f>IF($A102="","",COUNTIF($A$2:$A102,$A102))</f>
        <v/>
      </c>
      <c r="G102">
        <f>IF($A102="","",$A102&amp;"|"&amp;$F102)</f>
        <v/>
      </c>
    </row>
    <row r="103">
      <c r="A103">
        <f>IF(AND(진행중!D16&lt;&gt;"",진행중!V16&lt;&gt;"",진행중!N16&lt;&gt;"",진행중!N16&lt;&gt;"X",진행중!AA16&lt;&gt;"완료"),진행중!N16,"")</f>
        <v/>
      </c>
      <c r="B103">
        <f>IF($A103="","",진행중!D16)</f>
        <v/>
      </c>
      <c r="C103" t="inlineStr">
        <is>
          <t>내역</t>
        </is>
      </c>
      <c r="D103" s="22">
        <f>IF($A103="","",진행중!V16)</f>
        <v/>
      </c>
      <c r="E103" s="22">
        <f>IF($A103="","",IF(VLOOKUP($C103,설정!$A$4:$B$12,2,0)=0,진행중!W16,MIN(WORKDAY(진행중!V16,VLOOKUP($C103,설정!$A$4:$B$12,2,0)-1),진행중!W16)))</f>
        <v/>
      </c>
      <c r="F103">
        <f>IF($A103="","",COUNTIF($A$2:$A103,$A103))</f>
        <v/>
      </c>
      <c r="G103">
        <f>IF($A103="","",$A103&amp;"|"&amp;$F103)</f>
        <v/>
      </c>
    </row>
    <row r="104">
      <c r="A104">
        <f>IF(AND(진행중!D16&lt;&gt;"",진행중!V16&lt;&gt;"",진행중!O16&lt;&gt;"",진행중!O16&lt;&gt;"X",진행중!AA16&lt;&gt;"완료"),진행중!O16,"")</f>
        <v/>
      </c>
      <c r="B104">
        <f>IF($A104="","",진행중!D16)</f>
        <v/>
      </c>
      <c r="C104" t="inlineStr">
        <is>
          <t>가설</t>
        </is>
      </c>
      <c r="D104" s="22">
        <f>IF($A104="","",진행중!V16)</f>
        <v/>
      </c>
      <c r="E104" s="22">
        <f>IF($A104="","",IF(VLOOKUP($C104,설정!$A$4:$B$12,2,0)=0,진행중!W16,MIN(WORKDAY(진행중!V16,VLOOKUP($C104,설정!$A$4:$B$12,2,0)-1),진행중!W16)))</f>
        <v/>
      </c>
      <c r="F104">
        <f>IF($A104="","",COUNTIF($A$2:$A104,$A104))</f>
        <v/>
      </c>
      <c r="G104">
        <f>IF($A104="","",$A104&amp;"|"&amp;$F104)</f>
        <v/>
      </c>
    </row>
    <row r="105">
      <c r="A105">
        <f>IF(AND(진행중!D16&lt;&gt;"",진행중!V16&lt;&gt;"",진행중!P16&lt;&gt;"",진행중!P16&lt;&gt;"X",진행중!AA16&lt;&gt;"완료"),진행중!P16,"")</f>
        <v/>
      </c>
      <c r="B105">
        <f>IF($A105="","",진행중!D16)</f>
        <v/>
      </c>
      <c r="C105" t="inlineStr">
        <is>
          <t>세대</t>
        </is>
      </c>
      <c r="D105" s="22">
        <f>IF($A105="","",진행중!V16)</f>
        <v/>
      </c>
      <c r="E105" s="22">
        <f>IF($A105="","",IF(VLOOKUP($C105,설정!$A$4:$B$12,2,0)=0,진행중!W16,MIN(WORKDAY(진행중!V16,VLOOKUP($C105,설정!$A$4:$B$12,2,0)-1),진행중!W16)))</f>
        <v/>
      </c>
      <c r="F105">
        <f>IF($A105="","",COUNTIF($A$2:$A105,$A105))</f>
        <v/>
      </c>
      <c r="G105">
        <f>IF($A105="","",$A105&amp;"|"&amp;$F105)</f>
        <v/>
      </c>
    </row>
    <row r="106">
      <c r="A106">
        <f>IF(AND(진행중!D16&lt;&gt;"",진행중!V16&lt;&gt;"",진행중!Q16&lt;&gt;"",진행중!Q16&lt;&gt;"X",진행중!AA16&lt;&gt;"완료"),진행중!Q16,"")</f>
        <v/>
      </c>
      <c r="B106">
        <f>IF($A106="","",진행중!D16)</f>
        <v/>
      </c>
      <c r="C106" t="inlineStr">
        <is>
          <t>내부</t>
        </is>
      </c>
      <c r="D106" s="22">
        <f>IF($A106="","",진행중!V16)</f>
        <v/>
      </c>
      <c r="E106" s="22">
        <f>IF($A106="","",IF(VLOOKUP($C106,설정!$A$4:$B$12,2,0)=0,진행중!W16,MIN(WORKDAY(진행중!V16,VLOOKUP($C106,설정!$A$4:$B$12,2,0)-1),진행중!W16)))</f>
        <v/>
      </c>
      <c r="F106">
        <f>IF($A106="","",COUNTIF($A$2:$A106,$A106))</f>
        <v/>
      </c>
      <c r="G106">
        <f>IF($A106="","",$A106&amp;"|"&amp;$F106)</f>
        <v/>
      </c>
    </row>
    <row r="107">
      <c r="A107">
        <f>IF(AND(진행중!D16&lt;&gt;"",진행중!V16&lt;&gt;"",진행중!R16&lt;&gt;"",진행중!R16&lt;&gt;"X",진행중!AA16&lt;&gt;"완료"),진행중!R16,"")</f>
        <v/>
      </c>
      <c r="B107">
        <f>IF($A107="","",진행중!D16)</f>
        <v/>
      </c>
      <c r="C107" t="inlineStr">
        <is>
          <t>외부</t>
        </is>
      </c>
      <c r="D107" s="22">
        <f>IF($A107="","",진행중!V16)</f>
        <v/>
      </c>
      <c r="E107" s="22">
        <f>IF($A107="","",IF(VLOOKUP($C107,설정!$A$4:$B$12,2,0)=0,진행중!W16,MIN(WORKDAY(진행중!V16,VLOOKUP($C107,설정!$A$4:$B$12,2,0)-1),진행중!W16)))</f>
        <v/>
      </c>
      <c r="F107">
        <f>IF($A107="","",COUNTIF($A$2:$A107,$A107))</f>
        <v/>
      </c>
      <c r="G107">
        <f>IF($A107="","",$A107&amp;"|"&amp;$F107)</f>
        <v/>
      </c>
    </row>
    <row r="108">
      <c r="A108">
        <f>IF(AND(진행중!D16&lt;&gt;"",진행중!V16&lt;&gt;"",진행중!S16&lt;&gt;"",진행중!S16&lt;&gt;"X",진행중!AA16&lt;&gt;"완료"),진행중!S16,"")</f>
        <v/>
      </c>
      <c r="B108">
        <f>IF($A108="","",진행중!D16)</f>
        <v/>
      </c>
      <c r="C108" t="inlineStr">
        <is>
          <t>창호</t>
        </is>
      </c>
      <c r="D108" s="22">
        <f>IF($A108="","",진행중!V16)</f>
        <v/>
      </c>
      <c r="E108" s="22">
        <f>IF($A108="","",IF(VLOOKUP($C108,설정!$A$4:$B$12,2,0)=0,진행중!W16,MIN(WORKDAY(진행중!V16,VLOOKUP($C108,설정!$A$4:$B$12,2,0)-1),진행중!W16)))</f>
        <v/>
      </c>
      <c r="F108">
        <f>IF($A108="","",COUNTIF($A$2:$A108,$A108))</f>
        <v/>
      </c>
      <c r="G108">
        <f>IF($A108="","",$A108&amp;"|"&amp;$F108)</f>
        <v/>
      </c>
    </row>
    <row r="109">
      <c r="A109">
        <f>IF(AND(진행중!D16&lt;&gt;"",진행중!V16&lt;&gt;"",진행중!T16&lt;&gt;"",진행중!T16&lt;&gt;"X",진행중!AA16&lt;&gt;"완료"),진행중!T16,"")</f>
        <v/>
      </c>
      <c r="B109">
        <f>IF($A109="","",진행중!D16)</f>
        <v/>
      </c>
      <c r="C109" t="inlineStr">
        <is>
          <t>조적</t>
        </is>
      </c>
      <c r="D109" s="22">
        <f>IF($A109="","",진행중!V16)</f>
        <v/>
      </c>
      <c r="E109" s="22">
        <f>IF($A109="","",IF(VLOOKUP($C109,설정!$A$4:$B$12,2,0)=0,진행중!W16,MIN(WORKDAY(진행중!V16,VLOOKUP($C109,설정!$A$4:$B$12,2,0)-1),진행중!W16)))</f>
        <v/>
      </c>
      <c r="F109">
        <f>IF($A109="","",COUNTIF($A$2:$A109,$A109))</f>
        <v/>
      </c>
      <c r="G109">
        <f>IF($A109="","",$A109&amp;"|"&amp;$F109)</f>
        <v/>
      </c>
    </row>
    <row r="110">
      <c r="A110">
        <f>IF(AND(진행중!D17&lt;&gt;"",진행중!V17&lt;&gt;"",진행중!L17&lt;&gt;"",진행중!L17&lt;&gt;"X",진행중!AA17&lt;&gt;"완료"),진행중!L17,"")</f>
        <v/>
      </c>
      <c r="B110">
        <f>IF($A110="","",진행중!D17)</f>
        <v/>
      </c>
      <c r="C110" t="inlineStr">
        <is>
          <t>PM</t>
        </is>
      </c>
      <c r="D110" s="22">
        <f>IF($A110="","",진행중!V17)</f>
        <v/>
      </c>
      <c r="E110" s="22">
        <f>IF($A110="","",IF(VLOOKUP($C110,설정!$A$4:$B$12,2,0)=0,진행중!W17,MIN(WORKDAY(진행중!V17,VLOOKUP($C110,설정!$A$4:$B$12,2,0)-1),진행중!W17)))</f>
        <v/>
      </c>
      <c r="F110">
        <f>IF($A110="","",COUNTIF($A$2:$A110,$A110))</f>
        <v/>
      </c>
      <c r="G110">
        <f>IF($A110="","",$A110&amp;"|"&amp;$F110)</f>
        <v/>
      </c>
    </row>
    <row r="111">
      <c r="A111">
        <f>IF(AND(진행중!D17&lt;&gt;"",진행중!V17&lt;&gt;"",진행중!M17&lt;&gt;"",진행중!M17&lt;&gt;"X",진행중!AA17&lt;&gt;"완료"),진행중!M17,"")</f>
        <v/>
      </c>
      <c r="B111">
        <f>IF($A111="","",진행중!D17)</f>
        <v/>
      </c>
      <c r="C111" t="inlineStr">
        <is>
          <t>검토</t>
        </is>
      </c>
      <c r="D111" s="22">
        <f>IF($A111="","",진행중!V17)</f>
        <v/>
      </c>
      <c r="E111" s="22">
        <f>IF($A111="","",IF(VLOOKUP($C111,설정!$A$4:$B$12,2,0)=0,진행중!W17,MIN(WORKDAY(진행중!V17,VLOOKUP($C111,설정!$A$4:$B$12,2,0)-1),진행중!W17)))</f>
        <v/>
      </c>
      <c r="F111">
        <f>IF($A111="","",COUNTIF($A$2:$A111,$A111))</f>
        <v/>
      </c>
      <c r="G111">
        <f>IF($A111="","",$A111&amp;"|"&amp;$F111)</f>
        <v/>
      </c>
    </row>
    <row r="112">
      <c r="A112">
        <f>IF(AND(진행중!D17&lt;&gt;"",진행중!V17&lt;&gt;"",진행중!N17&lt;&gt;"",진행중!N17&lt;&gt;"X",진행중!AA17&lt;&gt;"완료"),진행중!N17,"")</f>
        <v/>
      </c>
      <c r="B112">
        <f>IF($A112="","",진행중!D17)</f>
        <v/>
      </c>
      <c r="C112" t="inlineStr">
        <is>
          <t>내역</t>
        </is>
      </c>
      <c r="D112" s="22">
        <f>IF($A112="","",진행중!V17)</f>
        <v/>
      </c>
      <c r="E112" s="22">
        <f>IF($A112="","",IF(VLOOKUP($C112,설정!$A$4:$B$12,2,0)=0,진행중!W17,MIN(WORKDAY(진행중!V17,VLOOKUP($C112,설정!$A$4:$B$12,2,0)-1),진행중!W17)))</f>
        <v/>
      </c>
      <c r="F112">
        <f>IF($A112="","",COUNTIF($A$2:$A112,$A112))</f>
        <v/>
      </c>
      <c r="G112">
        <f>IF($A112="","",$A112&amp;"|"&amp;$F112)</f>
        <v/>
      </c>
    </row>
    <row r="113">
      <c r="A113">
        <f>IF(AND(진행중!D17&lt;&gt;"",진행중!V17&lt;&gt;"",진행중!O17&lt;&gt;"",진행중!O17&lt;&gt;"X",진행중!AA17&lt;&gt;"완료"),진행중!O17,"")</f>
        <v/>
      </c>
      <c r="B113">
        <f>IF($A113="","",진행중!D17)</f>
        <v/>
      </c>
      <c r="C113" t="inlineStr">
        <is>
          <t>가설</t>
        </is>
      </c>
      <c r="D113" s="22">
        <f>IF($A113="","",진행중!V17)</f>
        <v/>
      </c>
      <c r="E113" s="22">
        <f>IF($A113="","",IF(VLOOKUP($C113,설정!$A$4:$B$12,2,0)=0,진행중!W17,MIN(WORKDAY(진행중!V17,VLOOKUP($C113,설정!$A$4:$B$12,2,0)-1),진행중!W17)))</f>
        <v/>
      </c>
      <c r="F113">
        <f>IF($A113="","",COUNTIF($A$2:$A113,$A113))</f>
        <v/>
      </c>
      <c r="G113">
        <f>IF($A113="","",$A113&amp;"|"&amp;$F113)</f>
        <v/>
      </c>
    </row>
    <row r="114">
      <c r="A114">
        <f>IF(AND(진행중!D17&lt;&gt;"",진행중!V17&lt;&gt;"",진행중!P17&lt;&gt;"",진행중!P17&lt;&gt;"X",진행중!AA17&lt;&gt;"완료"),진행중!P17,"")</f>
        <v/>
      </c>
      <c r="B114">
        <f>IF($A114="","",진행중!D17)</f>
        <v/>
      </c>
      <c r="C114" t="inlineStr">
        <is>
          <t>세대</t>
        </is>
      </c>
      <c r="D114" s="22">
        <f>IF($A114="","",진행중!V17)</f>
        <v/>
      </c>
      <c r="E114" s="22">
        <f>IF($A114="","",IF(VLOOKUP($C114,설정!$A$4:$B$12,2,0)=0,진행중!W17,MIN(WORKDAY(진행중!V17,VLOOKUP($C114,설정!$A$4:$B$12,2,0)-1),진행중!W17)))</f>
        <v/>
      </c>
      <c r="F114">
        <f>IF($A114="","",COUNTIF($A$2:$A114,$A114))</f>
        <v/>
      </c>
      <c r="G114">
        <f>IF($A114="","",$A114&amp;"|"&amp;$F114)</f>
        <v/>
      </c>
    </row>
    <row r="115">
      <c r="A115">
        <f>IF(AND(진행중!D17&lt;&gt;"",진행중!V17&lt;&gt;"",진행중!Q17&lt;&gt;"",진행중!Q17&lt;&gt;"X",진행중!AA17&lt;&gt;"완료"),진행중!Q17,"")</f>
        <v/>
      </c>
      <c r="B115">
        <f>IF($A115="","",진행중!D17)</f>
        <v/>
      </c>
      <c r="C115" t="inlineStr">
        <is>
          <t>내부</t>
        </is>
      </c>
      <c r="D115" s="22">
        <f>IF($A115="","",진행중!V17)</f>
        <v/>
      </c>
      <c r="E115" s="22">
        <f>IF($A115="","",IF(VLOOKUP($C115,설정!$A$4:$B$12,2,0)=0,진행중!W17,MIN(WORKDAY(진행중!V17,VLOOKUP($C115,설정!$A$4:$B$12,2,0)-1),진행중!W17)))</f>
        <v/>
      </c>
      <c r="F115">
        <f>IF($A115="","",COUNTIF($A$2:$A115,$A115))</f>
        <v/>
      </c>
      <c r="G115">
        <f>IF($A115="","",$A115&amp;"|"&amp;$F115)</f>
        <v/>
      </c>
    </row>
    <row r="116">
      <c r="A116">
        <f>IF(AND(진행중!D17&lt;&gt;"",진행중!V17&lt;&gt;"",진행중!R17&lt;&gt;"",진행중!R17&lt;&gt;"X",진행중!AA17&lt;&gt;"완료"),진행중!R17,"")</f>
        <v/>
      </c>
      <c r="B116">
        <f>IF($A116="","",진행중!D17)</f>
        <v/>
      </c>
      <c r="C116" t="inlineStr">
        <is>
          <t>외부</t>
        </is>
      </c>
      <c r="D116" s="22">
        <f>IF($A116="","",진행중!V17)</f>
        <v/>
      </c>
      <c r="E116" s="22">
        <f>IF($A116="","",IF(VLOOKUP($C116,설정!$A$4:$B$12,2,0)=0,진행중!W17,MIN(WORKDAY(진행중!V17,VLOOKUP($C116,설정!$A$4:$B$12,2,0)-1),진행중!W17)))</f>
        <v/>
      </c>
      <c r="F116">
        <f>IF($A116="","",COUNTIF($A$2:$A116,$A116))</f>
        <v/>
      </c>
      <c r="G116">
        <f>IF($A116="","",$A116&amp;"|"&amp;$F116)</f>
        <v/>
      </c>
    </row>
    <row r="117">
      <c r="A117">
        <f>IF(AND(진행중!D17&lt;&gt;"",진행중!V17&lt;&gt;"",진행중!S17&lt;&gt;"",진행중!S17&lt;&gt;"X",진행중!AA17&lt;&gt;"완료"),진행중!S17,"")</f>
        <v/>
      </c>
      <c r="B117">
        <f>IF($A117="","",진행중!D17)</f>
        <v/>
      </c>
      <c r="C117" t="inlineStr">
        <is>
          <t>창호</t>
        </is>
      </c>
      <c r="D117" s="22">
        <f>IF($A117="","",진행중!V17)</f>
        <v/>
      </c>
      <c r="E117" s="22">
        <f>IF($A117="","",IF(VLOOKUP($C117,설정!$A$4:$B$12,2,0)=0,진행중!W17,MIN(WORKDAY(진행중!V17,VLOOKUP($C117,설정!$A$4:$B$12,2,0)-1),진행중!W17)))</f>
        <v/>
      </c>
      <c r="F117">
        <f>IF($A117="","",COUNTIF($A$2:$A117,$A117))</f>
        <v/>
      </c>
      <c r="G117">
        <f>IF($A117="","",$A117&amp;"|"&amp;$F117)</f>
        <v/>
      </c>
    </row>
    <row r="118">
      <c r="A118">
        <f>IF(AND(진행중!D17&lt;&gt;"",진행중!V17&lt;&gt;"",진행중!T17&lt;&gt;"",진행중!T17&lt;&gt;"X",진행중!AA17&lt;&gt;"완료"),진행중!T17,"")</f>
        <v/>
      </c>
      <c r="B118">
        <f>IF($A118="","",진행중!D17)</f>
        <v/>
      </c>
      <c r="C118" t="inlineStr">
        <is>
          <t>조적</t>
        </is>
      </c>
      <c r="D118" s="22">
        <f>IF($A118="","",진행중!V17)</f>
        <v/>
      </c>
      <c r="E118" s="22">
        <f>IF($A118="","",IF(VLOOKUP($C118,설정!$A$4:$B$12,2,0)=0,진행중!W17,MIN(WORKDAY(진행중!V17,VLOOKUP($C118,설정!$A$4:$B$12,2,0)-1),진행중!W17)))</f>
        <v/>
      </c>
      <c r="F118">
        <f>IF($A118="","",COUNTIF($A$2:$A118,$A118))</f>
        <v/>
      </c>
      <c r="G118">
        <f>IF($A118="","",$A118&amp;"|"&amp;$F118)</f>
        <v/>
      </c>
    </row>
    <row r="119">
      <c r="A119">
        <f>IF(AND(진행중!D18&lt;&gt;"",진행중!V18&lt;&gt;"",진행중!L18&lt;&gt;"",진행중!L18&lt;&gt;"X",진행중!AA18&lt;&gt;"완료"),진행중!L18,"")</f>
        <v/>
      </c>
      <c r="B119">
        <f>IF($A119="","",진행중!D18)</f>
        <v/>
      </c>
      <c r="C119" t="inlineStr">
        <is>
          <t>PM</t>
        </is>
      </c>
      <c r="D119" s="22">
        <f>IF($A119="","",진행중!V18)</f>
        <v/>
      </c>
      <c r="E119" s="22">
        <f>IF($A119="","",IF(VLOOKUP($C119,설정!$A$4:$B$12,2,0)=0,진행중!W18,MIN(WORKDAY(진행중!V18,VLOOKUP($C119,설정!$A$4:$B$12,2,0)-1),진행중!W18)))</f>
        <v/>
      </c>
      <c r="F119">
        <f>IF($A119="","",COUNTIF($A$2:$A119,$A119))</f>
        <v/>
      </c>
      <c r="G119">
        <f>IF($A119="","",$A119&amp;"|"&amp;$F119)</f>
        <v/>
      </c>
    </row>
    <row r="120">
      <c r="A120">
        <f>IF(AND(진행중!D18&lt;&gt;"",진행중!V18&lt;&gt;"",진행중!M18&lt;&gt;"",진행중!M18&lt;&gt;"X",진행중!AA18&lt;&gt;"완료"),진행중!M18,"")</f>
        <v/>
      </c>
      <c r="B120">
        <f>IF($A120="","",진행중!D18)</f>
        <v/>
      </c>
      <c r="C120" t="inlineStr">
        <is>
          <t>검토</t>
        </is>
      </c>
      <c r="D120" s="22">
        <f>IF($A120="","",진행중!V18)</f>
        <v/>
      </c>
      <c r="E120" s="22">
        <f>IF($A120="","",IF(VLOOKUP($C120,설정!$A$4:$B$12,2,0)=0,진행중!W18,MIN(WORKDAY(진행중!V18,VLOOKUP($C120,설정!$A$4:$B$12,2,0)-1),진행중!W18)))</f>
        <v/>
      </c>
      <c r="F120">
        <f>IF($A120="","",COUNTIF($A$2:$A120,$A120))</f>
        <v/>
      </c>
      <c r="G120">
        <f>IF($A120="","",$A120&amp;"|"&amp;$F120)</f>
        <v/>
      </c>
    </row>
    <row r="121">
      <c r="A121">
        <f>IF(AND(진행중!D18&lt;&gt;"",진행중!V18&lt;&gt;"",진행중!N18&lt;&gt;"",진행중!N18&lt;&gt;"X",진행중!AA18&lt;&gt;"완료"),진행중!N18,"")</f>
        <v/>
      </c>
      <c r="B121">
        <f>IF($A121="","",진행중!D18)</f>
        <v/>
      </c>
      <c r="C121" t="inlineStr">
        <is>
          <t>내역</t>
        </is>
      </c>
      <c r="D121" s="22">
        <f>IF($A121="","",진행중!V18)</f>
        <v/>
      </c>
      <c r="E121" s="22">
        <f>IF($A121="","",IF(VLOOKUP($C121,설정!$A$4:$B$12,2,0)=0,진행중!W18,MIN(WORKDAY(진행중!V18,VLOOKUP($C121,설정!$A$4:$B$12,2,0)-1),진행중!W18)))</f>
        <v/>
      </c>
      <c r="F121">
        <f>IF($A121="","",COUNTIF($A$2:$A121,$A121))</f>
        <v/>
      </c>
      <c r="G121">
        <f>IF($A121="","",$A121&amp;"|"&amp;$F121)</f>
        <v/>
      </c>
    </row>
    <row r="122">
      <c r="A122">
        <f>IF(AND(진행중!D18&lt;&gt;"",진행중!V18&lt;&gt;"",진행중!O18&lt;&gt;"",진행중!O18&lt;&gt;"X",진행중!AA18&lt;&gt;"완료"),진행중!O18,"")</f>
        <v/>
      </c>
      <c r="B122">
        <f>IF($A122="","",진행중!D18)</f>
        <v/>
      </c>
      <c r="C122" t="inlineStr">
        <is>
          <t>가설</t>
        </is>
      </c>
      <c r="D122" s="22">
        <f>IF($A122="","",진행중!V18)</f>
        <v/>
      </c>
      <c r="E122" s="22">
        <f>IF($A122="","",IF(VLOOKUP($C122,설정!$A$4:$B$12,2,0)=0,진행중!W18,MIN(WORKDAY(진행중!V18,VLOOKUP($C122,설정!$A$4:$B$12,2,0)-1),진행중!W18)))</f>
        <v/>
      </c>
      <c r="F122">
        <f>IF($A122="","",COUNTIF($A$2:$A122,$A122))</f>
        <v/>
      </c>
      <c r="G122">
        <f>IF($A122="","",$A122&amp;"|"&amp;$F122)</f>
        <v/>
      </c>
    </row>
    <row r="123">
      <c r="A123">
        <f>IF(AND(진행중!D18&lt;&gt;"",진행중!V18&lt;&gt;"",진행중!P18&lt;&gt;"",진행중!P18&lt;&gt;"X",진행중!AA18&lt;&gt;"완료"),진행중!P18,"")</f>
        <v/>
      </c>
      <c r="B123">
        <f>IF($A123="","",진행중!D18)</f>
        <v/>
      </c>
      <c r="C123" t="inlineStr">
        <is>
          <t>세대</t>
        </is>
      </c>
      <c r="D123" s="22">
        <f>IF($A123="","",진행중!V18)</f>
        <v/>
      </c>
      <c r="E123" s="22">
        <f>IF($A123="","",IF(VLOOKUP($C123,설정!$A$4:$B$12,2,0)=0,진행중!W18,MIN(WORKDAY(진행중!V18,VLOOKUP($C123,설정!$A$4:$B$12,2,0)-1),진행중!W18)))</f>
        <v/>
      </c>
      <c r="F123">
        <f>IF($A123="","",COUNTIF($A$2:$A123,$A123))</f>
        <v/>
      </c>
      <c r="G123">
        <f>IF($A123="","",$A123&amp;"|"&amp;$F123)</f>
        <v/>
      </c>
    </row>
    <row r="124">
      <c r="A124">
        <f>IF(AND(진행중!D18&lt;&gt;"",진행중!V18&lt;&gt;"",진행중!Q18&lt;&gt;"",진행중!Q18&lt;&gt;"X",진행중!AA18&lt;&gt;"완료"),진행중!Q18,"")</f>
        <v/>
      </c>
      <c r="B124">
        <f>IF($A124="","",진행중!D18)</f>
        <v/>
      </c>
      <c r="C124" t="inlineStr">
        <is>
          <t>내부</t>
        </is>
      </c>
      <c r="D124" s="22">
        <f>IF($A124="","",진행중!V18)</f>
        <v/>
      </c>
      <c r="E124" s="22">
        <f>IF($A124="","",IF(VLOOKUP($C124,설정!$A$4:$B$12,2,0)=0,진행중!W18,MIN(WORKDAY(진행중!V18,VLOOKUP($C124,설정!$A$4:$B$12,2,0)-1),진행중!W18)))</f>
        <v/>
      </c>
      <c r="F124">
        <f>IF($A124="","",COUNTIF($A$2:$A124,$A124))</f>
        <v/>
      </c>
      <c r="G124">
        <f>IF($A124="","",$A124&amp;"|"&amp;$F124)</f>
        <v/>
      </c>
    </row>
    <row r="125">
      <c r="A125">
        <f>IF(AND(진행중!D18&lt;&gt;"",진행중!V18&lt;&gt;"",진행중!R18&lt;&gt;"",진행중!R18&lt;&gt;"X",진행중!AA18&lt;&gt;"완료"),진행중!R18,"")</f>
        <v/>
      </c>
      <c r="B125">
        <f>IF($A125="","",진행중!D18)</f>
        <v/>
      </c>
      <c r="C125" t="inlineStr">
        <is>
          <t>외부</t>
        </is>
      </c>
      <c r="D125" s="22">
        <f>IF($A125="","",진행중!V18)</f>
        <v/>
      </c>
      <c r="E125" s="22">
        <f>IF($A125="","",IF(VLOOKUP($C125,설정!$A$4:$B$12,2,0)=0,진행중!W18,MIN(WORKDAY(진행중!V18,VLOOKUP($C125,설정!$A$4:$B$12,2,0)-1),진행중!W18)))</f>
        <v/>
      </c>
      <c r="F125">
        <f>IF($A125="","",COUNTIF($A$2:$A125,$A125))</f>
        <v/>
      </c>
      <c r="G125">
        <f>IF($A125="","",$A125&amp;"|"&amp;$F125)</f>
        <v/>
      </c>
    </row>
    <row r="126">
      <c r="A126">
        <f>IF(AND(진행중!D18&lt;&gt;"",진행중!V18&lt;&gt;"",진행중!S18&lt;&gt;"",진행중!S18&lt;&gt;"X",진행중!AA18&lt;&gt;"완료"),진행중!S18,"")</f>
        <v/>
      </c>
      <c r="B126">
        <f>IF($A126="","",진행중!D18)</f>
        <v/>
      </c>
      <c r="C126" t="inlineStr">
        <is>
          <t>창호</t>
        </is>
      </c>
      <c r="D126" s="22">
        <f>IF($A126="","",진행중!V18)</f>
        <v/>
      </c>
      <c r="E126" s="22">
        <f>IF($A126="","",IF(VLOOKUP($C126,설정!$A$4:$B$12,2,0)=0,진행중!W18,MIN(WORKDAY(진행중!V18,VLOOKUP($C126,설정!$A$4:$B$12,2,0)-1),진행중!W18)))</f>
        <v/>
      </c>
      <c r="F126">
        <f>IF($A126="","",COUNTIF($A$2:$A126,$A126))</f>
        <v/>
      </c>
      <c r="G126">
        <f>IF($A126="","",$A126&amp;"|"&amp;$F126)</f>
        <v/>
      </c>
    </row>
    <row r="127">
      <c r="A127">
        <f>IF(AND(진행중!D18&lt;&gt;"",진행중!V18&lt;&gt;"",진행중!T18&lt;&gt;"",진행중!T18&lt;&gt;"X",진행중!AA18&lt;&gt;"완료"),진행중!T18,"")</f>
        <v/>
      </c>
      <c r="B127">
        <f>IF($A127="","",진행중!D18)</f>
        <v/>
      </c>
      <c r="C127" t="inlineStr">
        <is>
          <t>조적</t>
        </is>
      </c>
      <c r="D127" s="22">
        <f>IF($A127="","",진행중!V18)</f>
        <v/>
      </c>
      <c r="E127" s="22">
        <f>IF($A127="","",IF(VLOOKUP($C127,설정!$A$4:$B$12,2,0)=0,진행중!W18,MIN(WORKDAY(진행중!V18,VLOOKUP($C127,설정!$A$4:$B$12,2,0)-1),진행중!W18)))</f>
        <v/>
      </c>
      <c r="F127">
        <f>IF($A127="","",COUNTIF($A$2:$A127,$A127))</f>
        <v/>
      </c>
      <c r="G127">
        <f>IF($A127="","",$A127&amp;"|"&amp;$F127)</f>
        <v/>
      </c>
    </row>
    <row r="128">
      <c r="A128">
        <f>IF(AND(진행중!D19&lt;&gt;"",진행중!V19&lt;&gt;"",진행중!L19&lt;&gt;"",진행중!L19&lt;&gt;"X",진행중!AA19&lt;&gt;"완료"),진행중!L19,"")</f>
        <v/>
      </c>
      <c r="B128">
        <f>IF($A128="","",진행중!D19)</f>
        <v/>
      </c>
      <c r="C128" t="inlineStr">
        <is>
          <t>PM</t>
        </is>
      </c>
      <c r="D128" s="22">
        <f>IF($A128="","",진행중!V19)</f>
        <v/>
      </c>
      <c r="E128" s="22">
        <f>IF($A128="","",IF(VLOOKUP($C128,설정!$A$4:$B$12,2,0)=0,진행중!W19,MIN(WORKDAY(진행중!V19,VLOOKUP($C128,설정!$A$4:$B$12,2,0)-1),진행중!W19)))</f>
        <v/>
      </c>
      <c r="F128">
        <f>IF($A128="","",COUNTIF($A$2:$A128,$A128))</f>
        <v/>
      </c>
      <c r="G128">
        <f>IF($A128="","",$A128&amp;"|"&amp;$F128)</f>
        <v/>
      </c>
    </row>
    <row r="129">
      <c r="A129">
        <f>IF(AND(진행중!D19&lt;&gt;"",진행중!V19&lt;&gt;"",진행중!M19&lt;&gt;"",진행중!M19&lt;&gt;"X",진행중!AA19&lt;&gt;"완료"),진행중!M19,"")</f>
        <v/>
      </c>
      <c r="B129">
        <f>IF($A129="","",진행중!D19)</f>
        <v/>
      </c>
      <c r="C129" t="inlineStr">
        <is>
          <t>검토</t>
        </is>
      </c>
      <c r="D129" s="22">
        <f>IF($A129="","",진행중!V19)</f>
        <v/>
      </c>
      <c r="E129" s="22">
        <f>IF($A129="","",IF(VLOOKUP($C129,설정!$A$4:$B$12,2,0)=0,진행중!W19,MIN(WORKDAY(진행중!V19,VLOOKUP($C129,설정!$A$4:$B$12,2,0)-1),진행중!W19)))</f>
        <v/>
      </c>
      <c r="F129">
        <f>IF($A129="","",COUNTIF($A$2:$A129,$A129))</f>
        <v/>
      </c>
      <c r="G129">
        <f>IF($A129="","",$A129&amp;"|"&amp;$F129)</f>
        <v/>
      </c>
    </row>
    <row r="130">
      <c r="A130">
        <f>IF(AND(진행중!D19&lt;&gt;"",진행중!V19&lt;&gt;"",진행중!N19&lt;&gt;"",진행중!N19&lt;&gt;"X",진행중!AA19&lt;&gt;"완료"),진행중!N19,"")</f>
        <v/>
      </c>
      <c r="B130">
        <f>IF($A130="","",진행중!D19)</f>
        <v/>
      </c>
      <c r="C130" t="inlineStr">
        <is>
          <t>내역</t>
        </is>
      </c>
      <c r="D130" s="22">
        <f>IF($A130="","",진행중!V19)</f>
        <v/>
      </c>
      <c r="E130" s="22">
        <f>IF($A130="","",IF(VLOOKUP($C130,설정!$A$4:$B$12,2,0)=0,진행중!W19,MIN(WORKDAY(진행중!V19,VLOOKUP($C130,설정!$A$4:$B$12,2,0)-1),진행중!W19)))</f>
        <v/>
      </c>
      <c r="F130">
        <f>IF($A130="","",COUNTIF($A$2:$A130,$A130))</f>
        <v/>
      </c>
      <c r="G130">
        <f>IF($A130="","",$A130&amp;"|"&amp;$F130)</f>
        <v/>
      </c>
    </row>
    <row r="131">
      <c r="A131">
        <f>IF(AND(진행중!D19&lt;&gt;"",진행중!V19&lt;&gt;"",진행중!O19&lt;&gt;"",진행중!O19&lt;&gt;"X",진행중!AA19&lt;&gt;"완료"),진행중!O19,"")</f>
        <v/>
      </c>
      <c r="B131">
        <f>IF($A131="","",진행중!D19)</f>
        <v/>
      </c>
      <c r="C131" t="inlineStr">
        <is>
          <t>가설</t>
        </is>
      </c>
      <c r="D131" s="22">
        <f>IF($A131="","",진행중!V19)</f>
        <v/>
      </c>
      <c r="E131" s="22">
        <f>IF($A131="","",IF(VLOOKUP($C131,설정!$A$4:$B$12,2,0)=0,진행중!W19,MIN(WORKDAY(진행중!V19,VLOOKUP($C131,설정!$A$4:$B$12,2,0)-1),진행중!W19)))</f>
        <v/>
      </c>
      <c r="F131">
        <f>IF($A131="","",COUNTIF($A$2:$A131,$A131))</f>
        <v/>
      </c>
      <c r="G131">
        <f>IF($A131="","",$A131&amp;"|"&amp;$F131)</f>
        <v/>
      </c>
    </row>
    <row r="132">
      <c r="A132">
        <f>IF(AND(진행중!D19&lt;&gt;"",진행중!V19&lt;&gt;"",진행중!P19&lt;&gt;"",진행중!P19&lt;&gt;"X",진행중!AA19&lt;&gt;"완료"),진행중!P19,"")</f>
        <v/>
      </c>
      <c r="B132">
        <f>IF($A132="","",진행중!D19)</f>
        <v/>
      </c>
      <c r="C132" t="inlineStr">
        <is>
          <t>세대</t>
        </is>
      </c>
      <c r="D132" s="22">
        <f>IF($A132="","",진행중!V19)</f>
        <v/>
      </c>
      <c r="E132" s="22">
        <f>IF($A132="","",IF(VLOOKUP($C132,설정!$A$4:$B$12,2,0)=0,진행중!W19,MIN(WORKDAY(진행중!V19,VLOOKUP($C132,설정!$A$4:$B$12,2,0)-1),진행중!W19)))</f>
        <v/>
      </c>
      <c r="F132">
        <f>IF($A132="","",COUNTIF($A$2:$A132,$A132))</f>
        <v/>
      </c>
      <c r="G132">
        <f>IF($A132="","",$A132&amp;"|"&amp;$F132)</f>
        <v/>
      </c>
    </row>
    <row r="133">
      <c r="A133">
        <f>IF(AND(진행중!D19&lt;&gt;"",진행중!V19&lt;&gt;"",진행중!Q19&lt;&gt;"",진행중!Q19&lt;&gt;"X",진행중!AA19&lt;&gt;"완료"),진행중!Q19,"")</f>
        <v/>
      </c>
      <c r="B133">
        <f>IF($A133="","",진행중!D19)</f>
        <v/>
      </c>
      <c r="C133" t="inlineStr">
        <is>
          <t>내부</t>
        </is>
      </c>
      <c r="D133" s="22">
        <f>IF($A133="","",진행중!V19)</f>
        <v/>
      </c>
      <c r="E133" s="22">
        <f>IF($A133="","",IF(VLOOKUP($C133,설정!$A$4:$B$12,2,0)=0,진행중!W19,MIN(WORKDAY(진행중!V19,VLOOKUP($C133,설정!$A$4:$B$12,2,0)-1),진행중!W19)))</f>
        <v/>
      </c>
      <c r="F133">
        <f>IF($A133="","",COUNTIF($A$2:$A133,$A133))</f>
        <v/>
      </c>
      <c r="G133">
        <f>IF($A133="","",$A133&amp;"|"&amp;$F133)</f>
        <v/>
      </c>
    </row>
    <row r="134">
      <c r="A134">
        <f>IF(AND(진행중!D19&lt;&gt;"",진행중!V19&lt;&gt;"",진행중!R19&lt;&gt;"",진행중!R19&lt;&gt;"X",진행중!AA19&lt;&gt;"완료"),진행중!R19,"")</f>
        <v/>
      </c>
      <c r="B134">
        <f>IF($A134="","",진행중!D19)</f>
        <v/>
      </c>
      <c r="C134" t="inlineStr">
        <is>
          <t>외부</t>
        </is>
      </c>
      <c r="D134" s="22">
        <f>IF($A134="","",진행중!V19)</f>
        <v/>
      </c>
      <c r="E134" s="22">
        <f>IF($A134="","",IF(VLOOKUP($C134,설정!$A$4:$B$12,2,0)=0,진행중!W19,MIN(WORKDAY(진행중!V19,VLOOKUP($C134,설정!$A$4:$B$12,2,0)-1),진행중!W19)))</f>
        <v/>
      </c>
      <c r="F134">
        <f>IF($A134="","",COUNTIF($A$2:$A134,$A134))</f>
        <v/>
      </c>
      <c r="G134">
        <f>IF($A134="","",$A134&amp;"|"&amp;$F134)</f>
        <v/>
      </c>
    </row>
    <row r="135">
      <c r="A135">
        <f>IF(AND(진행중!D19&lt;&gt;"",진행중!V19&lt;&gt;"",진행중!S19&lt;&gt;"",진행중!S19&lt;&gt;"X",진행중!AA19&lt;&gt;"완료"),진행중!S19,"")</f>
        <v/>
      </c>
      <c r="B135">
        <f>IF($A135="","",진행중!D19)</f>
        <v/>
      </c>
      <c r="C135" t="inlineStr">
        <is>
          <t>창호</t>
        </is>
      </c>
      <c r="D135" s="22">
        <f>IF($A135="","",진행중!V19)</f>
        <v/>
      </c>
      <c r="E135" s="22">
        <f>IF($A135="","",IF(VLOOKUP($C135,설정!$A$4:$B$12,2,0)=0,진행중!W19,MIN(WORKDAY(진행중!V19,VLOOKUP($C135,설정!$A$4:$B$12,2,0)-1),진행중!W19)))</f>
        <v/>
      </c>
      <c r="F135">
        <f>IF($A135="","",COUNTIF($A$2:$A135,$A135))</f>
        <v/>
      </c>
      <c r="G135">
        <f>IF($A135="","",$A135&amp;"|"&amp;$F135)</f>
        <v/>
      </c>
    </row>
    <row r="136">
      <c r="A136">
        <f>IF(AND(진행중!D19&lt;&gt;"",진행중!V19&lt;&gt;"",진행중!T19&lt;&gt;"",진행중!T19&lt;&gt;"X",진행중!AA19&lt;&gt;"완료"),진행중!T19,"")</f>
        <v/>
      </c>
      <c r="B136">
        <f>IF($A136="","",진행중!D19)</f>
        <v/>
      </c>
      <c r="C136" t="inlineStr">
        <is>
          <t>조적</t>
        </is>
      </c>
      <c r="D136" s="22">
        <f>IF($A136="","",진행중!V19)</f>
        <v/>
      </c>
      <c r="E136" s="22">
        <f>IF($A136="","",IF(VLOOKUP($C136,설정!$A$4:$B$12,2,0)=0,진행중!W19,MIN(WORKDAY(진행중!V19,VLOOKUP($C136,설정!$A$4:$B$12,2,0)-1),진행중!W19)))</f>
        <v/>
      </c>
      <c r="F136">
        <f>IF($A136="","",COUNTIF($A$2:$A136,$A136))</f>
        <v/>
      </c>
      <c r="G136">
        <f>IF($A136="","",$A136&amp;"|"&amp;$F136)</f>
        <v/>
      </c>
    </row>
    <row r="137">
      <c r="A137">
        <f>IF(AND(진행중!D20&lt;&gt;"",진행중!V20&lt;&gt;"",진행중!L20&lt;&gt;"",진행중!L20&lt;&gt;"X",진행중!AA20&lt;&gt;"완료"),진행중!L20,"")</f>
        <v/>
      </c>
      <c r="B137">
        <f>IF($A137="","",진행중!D20)</f>
        <v/>
      </c>
      <c r="C137" t="inlineStr">
        <is>
          <t>PM</t>
        </is>
      </c>
      <c r="D137" s="22">
        <f>IF($A137="","",진행중!V20)</f>
        <v/>
      </c>
      <c r="E137" s="22">
        <f>IF($A137="","",IF(VLOOKUP($C137,설정!$A$4:$B$12,2,0)=0,진행중!W20,MIN(WORKDAY(진행중!V20,VLOOKUP($C137,설정!$A$4:$B$12,2,0)-1),진행중!W20)))</f>
        <v/>
      </c>
      <c r="F137">
        <f>IF($A137="","",COUNTIF($A$2:$A137,$A137))</f>
        <v/>
      </c>
      <c r="G137">
        <f>IF($A137="","",$A137&amp;"|"&amp;$F137)</f>
        <v/>
      </c>
    </row>
    <row r="138">
      <c r="A138">
        <f>IF(AND(진행중!D20&lt;&gt;"",진행중!V20&lt;&gt;"",진행중!M20&lt;&gt;"",진행중!M20&lt;&gt;"X",진행중!AA20&lt;&gt;"완료"),진행중!M20,"")</f>
        <v/>
      </c>
      <c r="B138">
        <f>IF($A138="","",진행중!D20)</f>
        <v/>
      </c>
      <c r="C138" t="inlineStr">
        <is>
          <t>검토</t>
        </is>
      </c>
      <c r="D138" s="22">
        <f>IF($A138="","",진행중!V20)</f>
        <v/>
      </c>
      <c r="E138" s="22">
        <f>IF($A138="","",IF(VLOOKUP($C138,설정!$A$4:$B$12,2,0)=0,진행중!W20,MIN(WORKDAY(진행중!V20,VLOOKUP($C138,설정!$A$4:$B$12,2,0)-1),진행중!W20)))</f>
        <v/>
      </c>
      <c r="F138">
        <f>IF($A138="","",COUNTIF($A$2:$A138,$A138))</f>
        <v/>
      </c>
      <c r="G138">
        <f>IF($A138="","",$A138&amp;"|"&amp;$F138)</f>
        <v/>
      </c>
    </row>
    <row r="139">
      <c r="A139">
        <f>IF(AND(진행중!D20&lt;&gt;"",진행중!V20&lt;&gt;"",진행중!N20&lt;&gt;"",진행중!N20&lt;&gt;"X",진행중!AA20&lt;&gt;"완료"),진행중!N20,"")</f>
        <v/>
      </c>
      <c r="B139">
        <f>IF($A139="","",진행중!D20)</f>
        <v/>
      </c>
      <c r="C139" t="inlineStr">
        <is>
          <t>내역</t>
        </is>
      </c>
      <c r="D139" s="22">
        <f>IF($A139="","",진행중!V20)</f>
        <v/>
      </c>
      <c r="E139" s="22">
        <f>IF($A139="","",IF(VLOOKUP($C139,설정!$A$4:$B$12,2,0)=0,진행중!W20,MIN(WORKDAY(진행중!V20,VLOOKUP($C139,설정!$A$4:$B$12,2,0)-1),진행중!W20)))</f>
        <v/>
      </c>
      <c r="F139">
        <f>IF($A139="","",COUNTIF($A$2:$A139,$A139))</f>
        <v/>
      </c>
      <c r="G139">
        <f>IF($A139="","",$A139&amp;"|"&amp;$F139)</f>
        <v/>
      </c>
    </row>
    <row r="140">
      <c r="A140">
        <f>IF(AND(진행중!D20&lt;&gt;"",진행중!V20&lt;&gt;"",진행중!O20&lt;&gt;"",진행중!O20&lt;&gt;"X",진행중!AA20&lt;&gt;"완료"),진행중!O20,"")</f>
        <v/>
      </c>
      <c r="B140">
        <f>IF($A140="","",진행중!D20)</f>
        <v/>
      </c>
      <c r="C140" t="inlineStr">
        <is>
          <t>가설</t>
        </is>
      </c>
      <c r="D140" s="22">
        <f>IF($A140="","",진행중!V20)</f>
        <v/>
      </c>
      <c r="E140" s="22">
        <f>IF($A140="","",IF(VLOOKUP($C140,설정!$A$4:$B$12,2,0)=0,진행중!W20,MIN(WORKDAY(진행중!V20,VLOOKUP($C140,설정!$A$4:$B$12,2,0)-1),진행중!W20)))</f>
        <v/>
      </c>
      <c r="F140">
        <f>IF($A140="","",COUNTIF($A$2:$A140,$A140))</f>
        <v/>
      </c>
      <c r="G140">
        <f>IF($A140="","",$A140&amp;"|"&amp;$F140)</f>
        <v/>
      </c>
    </row>
    <row r="141">
      <c r="A141">
        <f>IF(AND(진행중!D20&lt;&gt;"",진행중!V20&lt;&gt;"",진행중!P20&lt;&gt;"",진행중!P20&lt;&gt;"X",진행중!AA20&lt;&gt;"완료"),진행중!P20,"")</f>
        <v/>
      </c>
      <c r="B141">
        <f>IF($A141="","",진행중!D20)</f>
        <v/>
      </c>
      <c r="C141" t="inlineStr">
        <is>
          <t>세대</t>
        </is>
      </c>
      <c r="D141" s="22">
        <f>IF($A141="","",진행중!V20)</f>
        <v/>
      </c>
      <c r="E141" s="22">
        <f>IF($A141="","",IF(VLOOKUP($C141,설정!$A$4:$B$12,2,0)=0,진행중!W20,MIN(WORKDAY(진행중!V20,VLOOKUP($C141,설정!$A$4:$B$12,2,0)-1),진행중!W20)))</f>
        <v/>
      </c>
      <c r="F141">
        <f>IF($A141="","",COUNTIF($A$2:$A141,$A141))</f>
        <v/>
      </c>
      <c r="G141">
        <f>IF($A141="","",$A141&amp;"|"&amp;$F141)</f>
        <v/>
      </c>
    </row>
    <row r="142">
      <c r="A142">
        <f>IF(AND(진행중!D20&lt;&gt;"",진행중!V20&lt;&gt;"",진행중!Q20&lt;&gt;"",진행중!Q20&lt;&gt;"X",진행중!AA20&lt;&gt;"완료"),진행중!Q20,"")</f>
        <v/>
      </c>
      <c r="B142">
        <f>IF($A142="","",진행중!D20)</f>
        <v/>
      </c>
      <c r="C142" t="inlineStr">
        <is>
          <t>내부</t>
        </is>
      </c>
      <c r="D142" s="22">
        <f>IF($A142="","",진행중!V20)</f>
        <v/>
      </c>
      <c r="E142" s="22">
        <f>IF($A142="","",IF(VLOOKUP($C142,설정!$A$4:$B$12,2,0)=0,진행중!W20,MIN(WORKDAY(진행중!V20,VLOOKUP($C142,설정!$A$4:$B$12,2,0)-1),진행중!W20)))</f>
        <v/>
      </c>
      <c r="F142">
        <f>IF($A142="","",COUNTIF($A$2:$A142,$A142))</f>
        <v/>
      </c>
      <c r="G142">
        <f>IF($A142="","",$A142&amp;"|"&amp;$F142)</f>
        <v/>
      </c>
    </row>
    <row r="143">
      <c r="A143">
        <f>IF(AND(진행중!D20&lt;&gt;"",진행중!V20&lt;&gt;"",진행중!R20&lt;&gt;"",진행중!R20&lt;&gt;"X",진행중!AA20&lt;&gt;"완료"),진행중!R20,"")</f>
        <v/>
      </c>
      <c r="B143">
        <f>IF($A143="","",진행중!D20)</f>
        <v/>
      </c>
      <c r="C143" t="inlineStr">
        <is>
          <t>외부</t>
        </is>
      </c>
      <c r="D143" s="22">
        <f>IF($A143="","",진행중!V20)</f>
        <v/>
      </c>
      <c r="E143" s="22">
        <f>IF($A143="","",IF(VLOOKUP($C143,설정!$A$4:$B$12,2,0)=0,진행중!W20,MIN(WORKDAY(진행중!V20,VLOOKUP($C143,설정!$A$4:$B$12,2,0)-1),진행중!W20)))</f>
        <v/>
      </c>
      <c r="F143">
        <f>IF($A143="","",COUNTIF($A$2:$A143,$A143))</f>
        <v/>
      </c>
      <c r="G143">
        <f>IF($A143="","",$A143&amp;"|"&amp;$F143)</f>
        <v/>
      </c>
    </row>
    <row r="144">
      <c r="A144">
        <f>IF(AND(진행중!D20&lt;&gt;"",진행중!V20&lt;&gt;"",진행중!S20&lt;&gt;"",진행중!S20&lt;&gt;"X",진행중!AA20&lt;&gt;"완료"),진행중!S20,"")</f>
        <v/>
      </c>
      <c r="B144">
        <f>IF($A144="","",진행중!D20)</f>
        <v/>
      </c>
      <c r="C144" t="inlineStr">
        <is>
          <t>창호</t>
        </is>
      </c>
      <c r="D144" s="22">
        <f>IF($A144="","",진행중!V20)</f>
        <v/>
      </c>
      <c r="E144" s="22">
        <f>IF($A144="","",IF(VLOOKUP($C144,설정!$A$4:$B$12,2,0)=0,진행중!W20,MIN(WORKDAY(진행중!V20,VLOOKUP($C144,설정!$A$4:$B$12,2,0)-1),진행중!W20)))</f>
        <v/>
      </c>
      <c r="F144">
        <f>IF($A144="","",COUNTIF($A$2:$A144,$A144))</f>
        <v/>
      </c>
      <c r="G144">
        <f>IF($A144="","",$A144&amp;"|"&amp;$F144)</f>
        <v/>
      </c>
    </row>
    <row r="145">
      <c r="A145">
        <f>IF(AND(진행중!D20&lt;&gt;"",진행중!V20&lt;&gt;"",진행중!T20&lt;&gt;"",진행중!T20&lt;&gt;"X",진행중!AA20&lt;&gt;"완료"),진행중!T20,"")</f>
        <v/>
      </c>
      <c r="B145">
        <f>IF($A145="","",진행중!D20)</f>
        <v/>
      </c>
      <c r="C145" t="inlineStr">
        <is>
          <t>조적</t>
        </is>
      </c>
      <c r="D145" s="22">
        <f>IF($A145="","",진행중!V20)</f>
        <v/>
      </c>
      <c r="E145" s="22">
        <f>IF($A145="","",IF(VLOOKUP($C145,설정!$A$4:$B$12,2,0)=0,진행중!W20,MIN(WORKDAY(진행중!V20,VLOOKUP($C145,설정!$A$4:$B$12,2,0)-1),진행중!W20)))</f>
        <v/>
      </c>
      <c r="F145">
        <f>IF($A145="","",COUNTIF($A$2:$A145,$A145))</f>
        <v/>
      </c>
      <c r="G145">
        <f>IF($A145="","",$A145&amp;"|"&amp;$F145)</f>
        <v/>
      </c>
    </row>
    <row r="146">
      <c r="A146">
        <f>IF(AND(진행중!D21&lt;&gt;"",진행중!V21&lt;&gt;"",진행중!L21&lt;&gt;"",진행중!L21&lt;&gt;"X",진행중!AA21&lt;&gt;"완료"),진행중!L21,"")</f>
        <v/>
      </c>
      <c r="B146">
        <f>IF($A146="","",진행중!D21)</f>
        <v/>
      </c>
      <c r="C146" t="inlineStr">
        <is>
          <t>PM</t>
        </is>
      </c>
      <c r="D146" s="22">
        <f>IF($A146="","",진행중!V21)</f>
        <v/>
      </c>
      <c r="E146" s="22">
        <f>IF($A146="","",IF(VLOOKUP($C146,설정!$A$4:$B$12,2,0)=0,진행중!W21,MIN(WORKDAY(진행중!V21,VLOOKUP($C146,설정!$A$4:$B$12,2,0)-1),진행중!W21)))</f>
        <v/>
      </c>
      <c r="F146">
        <f>IF($A146="","",COUNTIF($A$2:$A146,$A146))</f>
        <v/>
      </c>
      <c r="G146">
        <f>IF($A146="","",$A146&amp;"|"&amp;$F146)</f>
        <v/>
      </c>
    </row>
    <row r="147">
      <c r="A147">
        <f>IF(AND(진행중!D21&lt;&gt;"",진행중!V21&lt;&gt;"",진행중!M21&lt;&gt;"",진행중!M21&lt;&gt;"X",진행중!AA21&lt;&gt;"완료"),진행중!M21,"")</f>
        <v/>
      </c>
      <c r="B147">
        <f>IF($A147="","",진행중!D21)</f>
        <v/>
      </c>
      <c r="C147" t="inlineStr">
        <is>
          <t>검토</t>
        </is>
      </c>
      <c r="D147" s="22">
        <f>IF($A147="","",진행중!V21)</f>
        <v/>
      </c>
      <c r="E147" s="22">
        <f>IF($A147="","",IF(VLOOKUP($C147,설정!$A$4:$B$12,2,0)=0,진행중!W21,MIN(WORKDAY(진행중!V21,VLOOKUP($C147,설정!$A$4:$B$12,2,0)-1),진행중!W21)))</f>
        <v/>
      </c>
      <c r="F147">
        <f>IF($A147="","",COUNTIF($A$2:$A147,$A147))</f>
        <v/>
      </c>
      <c r="G147">
        <f>IF($A147="","",$A147&amp;"|"&amp;$F147)</f>
        <v/>
      </c>
    </row>
    <row r="148">
      <c r="A148">
        <f>IF(AND(진행중!D21&lt;&gt;"",진행중!V21&lt;&gt;"",진행중!N21&lt;&gt;"",진행중!N21&lt;&gt;"X",진행중!AA21&lt;&gt;"완료"),진행중!N21,"")</f>
        <v/>
      </c>
      <c r="B148">
        <f>IF($A148="","",진행중!D21)</f>
        <v/>
      </c>
      <c r="C148" t="inlineStr">
        <is>
          <t>내역</t>
        </is>
      </c>
      <c r="D148" s="22">
        <f>IF($A148="","",진행중!V21)</f>
        <v/>
      </c>
      <c r="E148" s="22">
        <f>IF($A148="","",IF(VLOOKUP($C148,설정!$A$4:$B$12,2,0)=0,진행중!W21,MIN(WORKDAY(진행중!V21,VLOOKUP($C148,설정!$A$4:$B$12,2,0)-1),진행중!W21)))</f>
        <v/>
      </c>
      <c r="F148">
        <f>IF($A148="","",COUNTIF($A$2:$A148,$A148))</f>
        <v/>
      </c>
      <c r="G148">
        <f>IF($A148="","",$A148&amp;"|"&amp;$F148)</f>
        <v/>
      </c>
    </row>
    <row r="149">
      <c r="A149">
        <f>IF(AND(진행중!D21&lt;&gt;"",진행중!V21&lt;&gt;"",진행중!O21&lt;&gt;"",진행중!O21&lt;&gt;"X",진행중!AA21&lt;&gt;"완료"),진행중!O21,"")</f>
        <v/>
      </c>
      <c r="B149">
        <f>IF($A149="","",진행중!D21)</f>
        <v/>
      </c>
      <c r="C149" t="inlineStr">
        <is>
          <t>가설</t>
        </is>
      </c>
      <c r="D149" s="22">
        <f>IF($A149="","",진행중!V21)</f>
        <v/>
      </c>
      <c r="E149" s="22">
        <f>IF($A149="","",IF(VLOOKUP($C149,설정!$A$4:$B$12,2,0)=0,진행중!W21,MIN(WORKDAY(진행중!V21,VLOOKUP($C149,설정!$A$4:$B$12,2,0)-1),진행중!W21)))</f>
        <v/>
      </c>
      <c r="F149">
        <f>IF($A149="","",COUNTIF($A$2:$A149,$A149))</f>
        <v/>
      </c>
      <c r="G149">
        <f>IF($A149="","",$A149&amp;"|"&amp;$F149)</f>
        <v/>
      </c>
    </row>
    <row r="150">
      <c r="A150">
        <f>IF(AND(진행중!D21&lt;&gt;"",진행중!V21&lt;&gt;"",진행중!P21&lt;&gt;"",진행중!P21&lt;&gt;"X",진행중!AA21&lt;&gt;"완료"),진행중!P21,"")</f>
        <v/>
      </c>
      <c r="B150">
        <f>IF($A150="","",진행중!D21)</f>
        <v/>
      </c>
      <c r="C150" t="inlineStr">
        <is>
          <t>세대</t>
        </is>
      </c>
      <c r="D150" s="22">
        <f>IF($A150="","",진행중!V21)</f>
        <v/>
      </c>
      <c r="E150" s="22">
        <f>IF($A150="","",IF(VLOOKUP($C150,설정!$A$4:$B$12,2,0)=0,진행중!W21,MIN(WORKDAY(진행중!V21,VLOOKUP($C150,설정!$A$4:$B$12,2,0)-1),진행중!W21)))</f>
        <v/>
      </c>
      <c r="F150">
        <f>IF($A150="","",COUNTIF($A$2:$A150,$A150))</f>
        <v/>
      </c>
      <c r="G150">
        <f>IF($A150="","",$A150&amp;"|"&amp;$F150)</f>
        <v/>
      </c>
    </row>
    <row r="151">
      <c r="A151">
        <f>IF(AND(진행중!D21&lt;&gt;"",진행중!V21&lt;&gt;"",진행중!Q21&lt;&gt;"",진행중!Q21&lt;&gt;"X",진행중!AA21&lt;&gt;"완료"),진행중!Q21,"")</f>
        <v/>
      </c>
      <c r="B151">
        <f>IF($A151="","",진행중!D21)</f>
        <v/>
      </c>
      <c r="C151" t="inlineStr">
        <is>
          <t>내부</t>
        </is>
      </c>
      <c r="D151" s="22">
        <f>IF($A151="","",진행중!V21)</f>
        <v/>
      </c>
      <c r="E151" s="22">
        <f>IF($A151="","",IF(VLOOKUP($C151,설정!$A$4:$B$12,2,0)=0,진행중!W21,MIN(WORKDAY(진행중!V21,VLOOKUP($C151,설정!$A$4:$B$12,2,0)-1),진행중!W21)))</f>
        <v/>
      </c>
      <c r="F151">
        <f>IF($A151="","",COUNTIF($A$2:$A151,$A151))</f>
        <v/>
      </c>
      <c r="G151">
        <f>IF($A151="","",$A151&amp;"|"&amp;$F151)</f>
        <v/>
      </c>
    </row>
    <row r="152">
      <c r="A152">
        <f>IF(AND(진행중!D21&lt;&gt;"",진행중!V21&lt;&gt;"",진행중!R21&lt;&gt;"",진행중!R21&lt;&gt;"X",진행중!AA21&lt;&gt;"완료"),진행중!R21,"")</f>
        <v/>
      </c>
      <c r="B152">
        <f>IF($A152="","",진행중!D21)</f>
        <v/>
      </c>
      <c r="C152" t="inlineStr">
        <is>
          <t>외부</t>
        </is>
      </c>
      <c r="D152" s="22">
        <f>IF($A152="","",진행중!V21)</f>
        <v/>
      </c>
      <c r="E152" s="22">
        <f>IF($A152="","",IF(VLOOKUP($C152,설정!$A$4:$B$12,2,0)=0,진행중!W21,MIN(WORKDAY(진행중!V21,VLOOKUP($C152,설정!$A$4:$B$12,2,0)-1),진행중!W21)))</f>
        <v/>
      </c>
      <c r="F152">
        <f>IF($A152="","",COUNTIF($A$2:$A152,$A152))</f>
        <v/>
      </c>
      <c r="G152">
        <f>IF($A152="","",$A152&amp;"|"&amp;$F152)</f>
        <v/>
      </c>
    </row>
    <row r="153">
      <c r="A153">
        <f>IF(AND(진행중!D21&lt;&gt;"",진행중!V21&lt;&gt;"",진행중!S21&lt;&gt;"",진행중!S21&lt;&gt;"X",진행중!AA21&lt;&gt;"완료"),진행중!S21,"")</f>
        <v/>
      </c>
      <c r="B153">
        <f>IF($A153="","",진행중!D21)</f>
        <v/>
      </c>
      <c r="C153" t="inlineStr">
        <is>
          <t>창호</t>
        </is>
      </c>
      <c r="D153" s="22">
        <f>IF($A153="","",진행중!V21)</f>
        <v/>
      </c>
      <c r="E153" s="22">
        <f>IF($A153="","",IF(VLOOKUP($C153,설정!$A$4:$B$12,2,0)=0,진행중!W21,MIN(WORKDAY(진행중!V21,VLOOKUP($C153,설정!$A$4:$B$12,2,0)-1),진행중!W21)))</f>
        <v/>
      </c>
      <c r="F153">
        <f>IF($A153="","",COUNTIF($A$2:$A153,$A153))</f>
        <v/>
      </c>
      <c r="G153">
        <f>IF($A153="","",$A153&amp;"|"&amp;$F153)</f>
        <v/>
      </c>
    </row>
    <row r="154">
      <c r="A154">
        <f>IF(AND(진행중!D21&lt;&gt;"",진행중!V21&lt;&gt;"",진행중!T21&lt;&gt;"",진행중!T21&lt;&gt;"X",진행중!AA21&lt;&gt;"완료"),진행중!T21,"")</f>
        <v/>
      </c>
      <c r="B154">
        <f>IF($A154="","",진행중!D21)</f>
        <v/>
      </c>
      <c r="C154" t="inlineStr">
        <is>
          <t>조적</t>
        </is>
      </c>
      <c r="D154" s="22">
        <f>IF($A154="","",진행중!V21)</f>
        <v/>
      </c>
      <c r="E154" s="22">
        <f>IF($A154="","",IF(VLOOKUP($C154,설정!$A$4:$B$12,2,0)=0,진행중!W21,MIN(WORKDAY(진행중!V21,VLOOKUP($C154,설정!$A$4:$B$12,2,0)-1),진행중!W21)))</f>
        <v/>
      </c>
      <c r="F154">
        <f>IF($A154="","",COUNTIF($A$2:$A154,$A154))</f>
        <v/>
      </c>
      <c r="G154">
        <f>IF($A154="","",$A154&amp;"|"&amp;$F154)</f>
        <v/>
      </c>
    </row>
    <row r="155">
      <c r="A155">
        <f>IF(AND(진행중!D22&lt;&gt;"",진행중!V22&lt;&gt;"",진행중!L22&lt;&gt;"",진행중!L22&lt;&gt;"X",진행중!AA22&lt;&gt;"완료"),진행중!L22,"")</f>
        <v/>
      </c>
      <c r="B155">
        <f>IF($A155="","",진행중!D22)</f>
        <v/>
      </c>
      <c r="C155" t="inlineStr">
        <is>
          <t>PM</t>
        </is>
      </c>
      <c r="D155" s="22">
        <f>IF($A155="","",진행중!V22)</f>
        <v/>
      </c>
      <c r="E155" s="22">
        <f>IF($A155="","",IF(VLOOKUP($C155,설정!$A$4:$B$12,2,0)=0,진행중!W22,MIN(WORKDAY(진행중!V22,VLOOKUP($C155,설정!$A$4:$B$12,2,0)-1),진행중!W22)))</f>
        <v/>
      </c>
      <c r="F155">
        <f>IF($A155="","",COUNTIF($A$2:$A155,$A155))</f>
        <v/>
      </c>
      <c r="G155">
        <f>IF($A155="","",$A155&amp;"|"&amp;$F155)</f>
        <v/>
      </c>
    </row>
    <row r="156">
      <c r="A156">
        <f>IF(AND(진행중!D22&lt;&gt;"",진행중!V22&lt;&gt;"",진행중!M22&lt;&gt;"",진행중!M22&lt;&gt;"X",진행중!AA22&lt;&gt;"완료"),진행중!M22,"")</f>
        <v/>
      </c>
      <c r="B156">
        <f>IF($A156="","",진행중!D22)</f>
        <v/>
      </c>
      <c r="C156" t="inlineStr">
        <is>
          <t>검토</t>
        </is>
      </c>
      <c r="D156" s="22">
        <f>IF($A156="","",진행중!V22)</f>
        <v/>
      </c>
      <c r="E156" s="22">
        <f>IF($A156="","",IF(VLOOKUP($C156,설정!$A$4:$B$12,2,0)=0,진행중!W22,MIN(WORKDAY(진행중!V22,VLOOKUP($C156,설정!$A$4:$B$12,2,0)-1),진행중!W22)))</f>
        <v/>
      </c>
      <c r="F156">
        <f>IF($A156="","",COUNTIF($A$2:$A156,$A156))</f>
        <v/>
      </c>
      <c r="G156">
        <f>IF($A156="","",$A156&amp;"|"&amp;$F156)</f>
        <v/>
      </c>
    </row>
    <row r="157">
      <c r="A157">
        <f>IF(AND(진행중!D22&lt;&gt;"",진행중!V22&lt;&gt;"",진행중!N22&lt;&gt;"",진행중!N22&lt;&gt;"X",진행중!AA22&lt;&gt;"완료"),진행중!N22,"")</f>
        <v/>
      </c>
      <c r="B157">
        <f>IF($A157="","",진행중!D22)</f>
        <v/>
      </c>
      <c r="C157" t="inlineStr">
        <is>
          <t>내역</t>
        </is>
      </c>
      <c r="D157" s="22">
        <f>IF($A157="","",진행중!V22)</f>
        <v/>
      </c>
      <c r="E157" s="22">
        <f>IF($A157="","",IF(VLOOKUP($C157,설정!$A$4:$B$12,2,0)=0,진행중!W22,MIN(WORKDAY(진행중!V22,VLOOKUP($C157,설정!$A$4:$B$12,2,0)-1),진행중!W22)))</f>
        <v/>
      </c>
      <c r="F157">
        <f>IF($A157="","",COUNTIF($A$2:$A157,$A157))</f>
        <v/>
      </c>
      <c r="G157">
        <f>IF($A157="","",$A157&amp;"|"&amp;$F157)</f>
        <v/>
      </c>
    </row>
    <row r="158">
      <c r="A158">
        <f>IF(AND(진행중!D22&lt;&gt;"",진행중!V22&lt;&gt;"",진행중!O22&lt;&gt;"",진행중!O22&lt;&gt;"X",진행중!AA22&lt;&gt;"완료"),진행중!O22,"")</f>
        <v/>
      </c>
      <c r="B158">
        <f>IF($A158="","",진행중!D22)</f>
        <v/>
      </c>
      <c r="C158" t="inlineStr">
        <is>
          <t>가설</t>
        </is>
      </c>
      <c r="D158" s="22">
        <f>IF($A158="","",진행중!V22)</f>
        <v/>
      </c>
      <c r="E158" s="22">
        <f>IF($A158="","",IF(VLOOKUP($C158,설정!$A$4:$B$12,2,0)=0,진행중!W22,MIN(WORKDAY(진행중!V22,VLOOKUP($C158,설정!$A$4:$B$12,2,0)-1),진행중!W22)))</f>
        <v/>
      </c>
      <c r="F158">
        <f>IF($A158="","",COUNTIF($A$2:$A158,$A158))</f>
        <v/>
      </c>
      <c r="G158">
        <f>IF($A158="","",$A158&amp;"|"&amp;$F158)</f>
        <v/>
      </c>
    </row>
    <row r="159">
      <c r="A159">
        <f>IF(AND(진행중!D22&lt;&gt;"",진행중!V22&lt;&gt;"",진행중!P22&lt;&gt;"",진행중!P22&lt;&gt;"X",진행중!AA22&lt;&gt;"완료"),진행중!P22,"")</f>
        <v/>
      </c>
      <c r="B159">
        <f>IF($A159="","",진행중!D22)</f>
        <v/>
      </c>
      <c r="C159" t="inlineStr">
        <is>
          <t>세대</t>
        </is>
      </c>
      <c r="D159" s="22">
        <f>IF($A159="","",진행중!V22)</f>
        <v/>
      </c>
      <c r="E159" s="22">
        <f>IF($A159="","",IF(VLOOKUP($C159,설정!$A$4:$B$12,2,0)=0,진행중!W22,MIN(WORKDAY(진행중!V22,VLOOKUP($C159,설정!$A$4:$B$12,2,0)-1),진행중!W22)))</f>
        <v/>
      </c>
      <c r="F159">
        <f>IF($A159="","",COUNTIF($A$2:$A159,$A159))</f>
        <v/>
      </c>
      <c r="G159">
        <f>IF($A159="","",$A159&amp;"|"&amp;$F159)</f>
        <v/>
      </c>
    </row>
    <row r="160">
      <c r="A160">
        <f>IF(AND(진행중!D22&lt;&gt;"",진행중!V22&lt;&gt;"",진행중!Q22&lt;&gt;"",진행중!Q22&lt;&gt;"X",진행중!AA22&lt;&gt;"완료"),진행중!Q22,"")</f>
        <v/>
      </c>
      <c r="B160">
        <f>IF($A160="","",진행중!D22)</f>
        <v/>
      </c>
      <c r="C160" t="inlineStr">
        <is>
          <t>내부</t>
        </is>
      </c>
      <c r="D160" s="22">
        <f>IF($A160="","",진행중!V22)</f>
        <v/>
      </c>
      <c r="E160" s="22">
        <f>IF($A160="","",IF(VLOOKUP($C160,설정!$A$4:$B$12,2,0)=0,진행중!W22,MIN(WORKDAY(진행중!V22,VLOOKUP($C160,설정!$A$4:$B$12,2,0)-1),진행중!W22)))</f>
        <v/>
      </c>
      <c r="F160">
        <f>IF($A160="","",COUNTIF($A$2:$A160,$A160))</f>
        <v/>
      </c>
      <c r="G160">
        <f>IF($A160="","",$A160&amp;"|"&amp;$F160)</f>
        <v/>
      </c>
    </row>
    <row r="161">
      <c r="A161">
        <f>IF(AND(진행중!D22&lt;&gt;"",진행중!V22&lt;&gt;"",진행중!R22&lt;&gt;"",진행중!R22&lt;&gt;"X",진행중!AA22&lt;&gt;"완료"),진행중!R22,"")</f>
        <v/>
      </c>
      <c r="B161">
        <f>IF($A161="","",진행중!D22)</f>
        <v/>
      </c>
      <c r="C161" t="inlineStr">
        <is>
          <t>외부</t>
        </is>
      </c>
      <c r="D161" s="22">
        <f>IF($A161="","",진행중!V22)</f>
        <v/>
      </c>
      <c r="E161" s="22">
        <f>IF($A161="","",IF(VLOOKUP($C161,설정!$A$4:$B$12,2,0)=0,진행중!W22,MIN(WORKDAY(진행중!V22,VLOOKUP($C161,설정!$A$4:$B$12,2,0)-1),진행중!W22)))</f>
        <v/>
      </c>
      <c r="F161">
        <f>IF($A161="","",COUNTIF($A$2:$A161,$A161))</f>
        <v/>
      </c>
      <c r="G161">
        <f>IF($A161="","",$A161&amp;"|"&amp;$F161)</f>
        <v/>
      </c>
    </row>
    <row r="162">
      <c r="A162">
        <f>IF(AND(진행중!D22&lt;&gt;"",진행중!V22&lt;&gt;"",진행중!S22&lt;&gt;"",진행중!S22&lt;&gt;"X",진행중!AA22&lt;&gt;"완료"),진행중!S22,"")</f>
        <v/>
      </c>
      <c r="B162">
        <f>IF($A162="","",진행중!D22)</f>
        <v/>
      </c>
      <c r="C162" t="inlineStr">
        <is>
          <t>창호</t>
        </is>
      </c>
      <c r="D162" s="22">
        <f>IF($A162="","",진행중!V22)</f>
        <v/>
      </c>
      <c r="E162" s="22">
        <f>IF($A162="","",IF(VLOOKUP($C162,설정!$A$4:$B$12,2,0)=0,진행중!W22,MIN(WORKDAY(진행중!V22,VLOOKUP($C162,설정!$A$4:$B$12,2,0)-1),진행중!W22)))</f>
        <v/>
      </c>
      <c r="F162">
        <f>IF($A162="","",COUNTIF($A$2:$A162,$A162))</f>
        <v/>
      </c>
      <c r="G162">
        <f>IF($A162="","",$A162&amp;"|"&amp;$F162)</f>
        <v/>
      </c>
    </row>
    <row r="163">
      <c r="A163">
        <f>IF(AND(진행중!D22&lt;&gt;"",진행중!V22&lt;&gt;"",진행중!T22&lt;&gt;"",진행중!T22&lt;&gt;"X",진행중!AA22&lt;&gt;"완료"),진행중!T22,"")</f>
        <v/>
      </c>
      <c r="B163">
        <f>IF($A163="","",진행중!D22)</f>
        <v/>
      </c>
      <c r="C163" t="inlineStr">
        <is>
          <t>조적</t>
        </is>
      </c>
      <c r="D163" s="22">
        <f>IF($A163="","",진행중!V22)</f>
        <v/>
      </c>
      <c r="E163" s="22">
        <f>IF($A163="","",IF(VLOOKUP($C163,설정!$A$4:$B$12,2,0)=0,진행중!W22,MIN(WORKDAY(진행중!V22,VLOOKUP($C163,설정!$A$4:$B$12,2,0)-1),진행중!W22)))</f>
        <v/>
      </c>
      <c r="F163">
        <f>IF($A163="","",COUNTIF($A$2:$A163,$A163))</f>
        <v/>
      </c>
      <c r="G163">
        <f>IF($A163="","",$A163&amp;"|"&amp;$F163)</f>
        <v/>
      </c>
    </row>
    <row r="164">
      <c r="A164">
        <f>IF(AND(진행중!D23&lt;&gt;"",진행중!V23&lt;&gt;"",진행중!L23&lt;&gt;"",진행중!L23&lt;&gt;"X",진행중!AA23&lt;&gt;"완료"),진행중!L23,"")</f>
        <v/>
      </c>
      <c r="B164">
        <f>IF($A164="","",진행중!D23)</f>
        <v/>
      </c>
      <c r="C164" t="inlineStr">
        <is>
          <t>PM</t>
        </is>
      </c>
      <c r="D164" s="22">
        <f>IF($A164="","",진행중!V23)</f>
        <v/>
      </c>
      <c r="E164" s="22">
        <f>IF($A164="","",IF(VLOOKUP($C164,설정!$A$4:$B$12,2,0)=0,진행중!W23,MIN(WORKDAY(진행중!V23,VLOOKUP($C164,설정!$A$4:$B$12,2,0)-1),진행중!W23)))</f>
        <v/>
      </c>
      <c r="F164">
        <f>IF($A164="","",COUNTIF($A$2:$A164,$A164))</f>
        <v/>
      </c>
      <c r="G164">
        <f>IF($A164="","",$A164&amp;"|"&amp;$F164)</f>
        <v/>
      </c>
    </row>
    <row r="165">
      <c r="A165">
        <f>IF(AND(진행중!D23&lt;&gt;"",진행중!V23&lt;&gt;"",진행중!M23&lt;&gt;"",진행중!M23&lt;&gt;"X",진행중!AA23&lt;&gt;"완료"),진행중!M23,"")</f>
        <v/>
      </c>
      <c r="B165">
        <f>IF($A165="","",진행중!D23)</f>
        <v/>
      </c>
      <c r="C165" t="inlineStr">
        <is>
          <t>검토</t>
        </is>
      </c>
      <c r="D165" s="22">
        <f>IF($A165="","",진행중!V23)</f>
        <v/>
      </c>
      <c r="E165" s="22">
        <f>IF($A165="","",IF(VLOOKUP($C165,설정!$A$4:$B$12,2,0)=0,진행중!W23,MIN(WORKDAY(진행중!V23,VLOOKUP($C165,설정!$A$4:$B$12,2,0)-1),진행중!W23)))</f>
        <v/>
      </c>
      <c r="F165">
        <f>IF($A165="","",COUNTIF($A$2:$A165,$A165))</f>
        <v/>
      </c>
      <c r="G165">
        <f>IF($A165="","",$A165&amp;"|"&amp;$F165)</f>
        <v/>
      </c>
    </row>
    <row r="166">
      <c r="A166">
        <f>IF(AND(진행중!D23&lt;&gt;"",진행중!V23&lt;&gt;"",진행중!N23&lt;&gt;"",진행중!N23&lt;&gt;"X",진행중!AA23&lt;&gt;"완료"),진행중!N23,"")</f>
        <v/>
      </c>
      <c r="B166">
        <f>IF($A166="","",진행중!D23)</f>
        <v/>
      </c>
      <c r="C166" t="inlineStr">
        <is>
          <t>내역</t>
        </is>
      </c>
      <c r="D166" s="22">
        <f>IF($A166="","",진행중!V23)</f>
        <v/>
      </c>
      <c r="E166" s="22">
        <f>IF($A166="","",IF(VLOOKUP($C166,설정!$A$4:$B$12,2,0)=0,진행중!W23,MIN(WORKDAY(진행중!V23,VLOOKUP($C166,설정!$A$4:$B$12,2,0)-1),진행중!W23)))</f>
        <v/>
      </c>
      <c r="F166">
        <f>IF($A166="","",COUNTIF($A$2:$A166,$A166))</f>
        <v/>
      </c>
      <c r="G166">
        <f>IF($A166="","",$A166&amp;"|"&amp;$F166)</f>
        <v/>
      </c>
    </row>
    <row r="167">
      <c r="A167">
        <f>IF(AND(진행중!D23&lt;&gt;"",진행중!V23&lt;&gt;"",진행중!O23&lt;&gt;"",진행중!O23&lt;&gt;"X",진행중!AA23&lt;&gt;"완료"),진행중!O23,"")</f>
        <v/>
      </c>
      <c r="B167">
        <f>IF($A167="","",진행중!D23)</f>
        <v/>
      </c>
      <c r="C167" t="inlineStr">
        <is>
          <t>가설</t>
        </is>
      </c>
      <c r="D167" s="22">
        <f>IF($A167="","",진행중!V23)</f>
        <v/>
      </c>
      <c r="E167" s="22">
        <f>IF($A167="","",IF(VLOOKUP($C167,설정!$A$4:$B$12,2,0)=0,진행중!W23,MIN(WORKDAY(진행중!V23,VLOOKUP($C167,설정!$A$4:$B$12,2,0)-1),진행중!W23)))</f>
        <v/>
      </c>
      <c r="F167">
        <f>IF($A167="","",COUNTIF($A$2:$A167,$A167))</f>
        <v/>
      </c>
      <c r="G167">
        <f>IF($A167="","",$A167&amp;"|"&amp;$F167)</f>
        <v/>
      </c>
    </row>
    <row r="168">
      <c r="A168">
        <f>IF(AND(진행중!D23&lt;&gt;"",진행중!V23&lt;&gt;"",진행중!P23&lt;&gt;"",진행중!P23&lt;&gt;"X",진행중!AA23&lt;&gt;"완료"),진행중!P23,"")</f>
        <v/>
      </c>
      <c r="B168">
        <f>IF($A168="","",진행중!D23)</f>
        <v/>
      </c>
      <c r="C168" t="inlineStr">
        <is>
          <t>세대</t>
        </is>
      </c>
      <c r="D168" s="22">
        <f>IF($A168="","",진행중!V23)</f>
        <v/>
      </c>
      <c r="E168" s="22">
        <f>IF($A168="","",IF(VLOOKUP($C168,설정!$A$4:$B$12,2,0)=0,진행중!W23,MIN(WORKDAY(진행중!V23,VLOOKUP($C168,설정!$A$4:$B$12,2,0)-1),진행중!W23)))</f>
        <v/>
      </c>
      <c r="F168">
        <f>IF($A168="","",COUNTIF($A$2:$A168,$A168))</f>
        <v/>
      </c>
      <c r="G168">
        <f>IF($A168="","",$A168&amp;"|"&amp;$F168)</f>
        <v/>
      </c>
    </row>
    <row r="169">
      <c r="A169">
        <f>IF(AND(진행중!D23&lt;&gt;"",진행중!V23&lt;&gt;"",진행중!Q23&lt;&gt;"",진행중!Q23&lt;&gt;"X",진행중!AA23&lt;&gt;"완료"),진행중!Q23,"")</f>
        <v/>
      </c>
      <c r="B169">
        <f>IF($A169="","",진행중!D23)</f>
        <v/>
      </c>
      <c r="C169" t="inlineStr">
        <is>
          <t>내부</t>
        </is>
      </c>
      <c r="D169" s="22">
        <f>IF($A169="","",진행중!V23)</f>
        <v/>
      </c>
      <c r="E169" s="22">
        <f>IF($A169="","",IF(VLOOKUP($C169,설정!$A$4:$B$12,2,0)=0,진행중!W23,MIN(WORKDAY(진행중!V23,VLOOKUP($C169,설정!$A$4:$B$12,2,0)-1),진행중!W23)))</f>
        <v/>
      </c>
      <c r="F169">
        <f>IF($A169="","",COUNTIF($A$2:$A169,$A169))</f>
        <v/>
      </c>
      <c r="G169">
        <f>IF($A169="","",$A169&amp;"|"&amp;$F169)</f>
        <v/>
      </c>
    </row>
    <row r="170">
      <c r="A170">
        <f>IF(AND(진행중!D23&lt;&gt;"",진행중!V23&lt;&gt;"",진행중!R23&lt;&gt;"",진행중!R23&lt;&gt;"X",진행중!AA23&lt;&gt;"완료"),진행중!R23,"")</f>
        <v/>
      </c>
      <c r="B170">
        <f>IF($A170="","",진행중!D23)</f>
        <v/>
      </c>
      <c r="C170" t="inlineStr">
        <is>
          <t>외부</t>
        </is>
      </c>
      <c r="D170" s="22">
        <f>IF($A170="","",진행중!V23)</f>
        <v/>
      </c>
      <c r="E170" s="22">
        <f>IF($A170="","",IF(VLOOKUP($C170,설정!$A$4:$B$12,2,0)=0,진행중!W23,MIN(WORKDAY(진행중!V23,VLOOKUP($C170,설정!$A$4:$B$12,2,0)-1),진행중!W23)))</f>
        <v/>
      </c>
      <c r="F170">
        <f>IF($A170="","",COUNTIF($A$2:$A170,$A170))</f>
        <v/>
      </c>
      <c r="G170">
        <f>IF($A170="","",$A170&amp;"|"&amp;$F170)</f>
        <v/>
      </c>
    </row>
    <row r="171">
      <c r="A171">
        <f>IF(AND(진행중!D23&lt;&gt;"",진행중!V23&lt;&gt;"",진행중!S23&lt;&gt;"",진행중!S23&lt;&gt;"X",진행중!AA23&lt;&gt;"완료"),진행중!S23,"")</f>
        <v/>
      </c>
      <c r="B171">
        <f>IF($A171="","",진행중!D23)</f>
        <v/>
      </c>
      <c r="C171" t="inlineStr">
        <is>
          <t>창호</t>
        </is>
      </c>
      <c r="D171" s="22">
        <f>IF($A171="","",진행중!V23)</f>
        <v/>
      </c>
      <c r="E171" s="22">
        <f>IF($A171="","",IF(VLOOKUP($C171,설정!$A$4:$B$12,2,0)=0,진행중!W23,MIN(WORKDAY(진행중!V23,VLOOKUP($C171,설정!$A$4:$B$12,2,0)-1),진행중!W23)))</f>
        <v/>
      </c>
      <c r="F171">
        <f>IF($A171="","",COUNTIF($A$2:$A171,$A171))</f>
        <v/>
      </c>
      <c r="G171">
        <f>IF($A171="","",$A171&amp;"|"&amp;$F171)</f>
        <v/>
      </c>
    </row>
    <row r="172">
      <c r="A172">
        <f>IF(AND(진행중!D23&lt;&gt;"",진행중!V23&lt;&gt;"",진행중!T23&lt;&gt;"",진행중!T23&lt;&gt;"X",진행중!AA23&lt;&gt;"완료"),진행중!T23,"")</f>
        <v/>
      </c>
      <c r="B172">
        <f>IF($A172="","",진행중!D23)</f>
        <v/>
      </c>
      <c r="C172" t="inlineStr">
        <is>
          <t>조적</t>
        </is>
      </c>
      <c r="D172" s="22">
        <f>IF($A172="","",진행중!V23)</f>
        <v/>
      </c>
      <c r="E172" s="22">
        <f>IF($A172="","",IF(VLOOKUP($C172,설정!$A$4:$B$12,2,0)=0,진행중!W23,MIN(WORKDAY(진행중!V23,VLOOKUP($C172,설정!$A$4:$B$12,2,0)-1),진행중!W23)))</f>
        <v/>
      </c>
      <c r="F172">
        <f>IF($A172="","",COUNTIF($A$2:$A172,$A172))</f>
        <v/>
      </c>
      <c r="G172">
        <f>IF($A172="","",$A172&amp;"|"&amp;$F172)</f>
        <v/>
      </c>
    </row>
    <row r="173">
      <c r="A173">
        <f>IF(AND(진행중!D24&lt;&gt;"",진행중!V24&lt;&gt;"",진행중!L24&lt;&gt;"",진행중!L24&lt;&gt;"X",진행중!AA24&lt;&gt;"완료"),진행중!L24,"")</f>
        <v/>
      </c>
      <c r="B173">
        <f>IF($A173="","",진행중!D24)</f>
        <v/>
      </c>
      <c r="C173" t="inlineStr">
        <is>
          <t>PM</t>
        </is>
      </c>
      <c r="D173" s="22">
        <f>IF($A173="","",진행중!V24)</f>
        <v/>
      </c>
      <c r="E173" s="22">
        <f>IF($A173="","",IF(VLOOKUP($C173,설정!$A$4:$B$12,2,0)=0,진행중!W24,MIN(WORKDAY(진행중!V24,VLOOKUP($C173,설정!$A$4:$B$12,2,0)-1),진행중!W24)))</f>
        <v/>
      </c>
      <c r="F173">
        <f>IF($A173="","",COUNTIF($A$2:$A173,$A173))</f>
        <v/>
      </c>
      <c r="G173">
        <f>IF($A173="","",$A173&amp;"|"&amp;$F173)</f>
        <v/>
      </c>
    </row>
    <row r="174">
      <c r="A174">
        <f>IF(AND(진행중!D24&lt;&gt;"",진행중!V24&lt;&gt;"",진행중!M24&lt;&gt;"",진행중!M24&lt;&gt;"X",진행중!AA24&lt;&gt;"완료"),진행중!M24,"")</f>
        <v/>
      </c>
      <c r="B174">
        <f>IF($A174="","",진행중!D24)</f>
        <v/>
      </c>
      <c r="C174" t="inlineStr">
        <is>
          <t>검토</t>
        </is>
      </c>
      <c r="D174" s="22">
        <f>IF($A174="","",진행중!V24)</f>
        <v/>
      </c>
      <c r="E174" s="22">
        <f>IF($A174="","",IF(VLOOKUP($C174,설정!$A$4:$B$12,2,0)=0,진행중!W24,MIN(WORKDAY(진행중!V24,VLOOKUP($C174,설정!$A$4:$B$12,2,0)-1),진행중!W24)))</f>
        <v/>
      </c>
      <c r="F174">
        <f>IF($A174="","",COUNTIF($A$2:$A174,$A174))</f>
        <v/>
      </c>
      <c r="G174">
        <f>IF($A174="","",$A174&amp;"|"&amp;$F174)</f>
        <v/>
      </c>
    </row>
    <row r="175">
      <c r="A175">
        <f>IF(AND(진행중!D24&lt;&gt;"",진행중!V24&lt;&gt;"",진행중!N24&lt;&gt;"",진행중!N24&lt;&gt;"X",진행중!AA24&lt;&gt;"완료"),진행중!N24,"")</f>
        <v/>
      </c>
      <c r="B175">
        <f>IF($A175="","",진행중!D24)</f>
        <v/>
      </c>
      <c r="C175" t="inlineStr">
        <is>
          <t>내역</t>
        </is>
      </c>
      <c r="D175" s="22">
        <f>IF($A175="","",진행중!V24)</f>
        <v/>
      </c>
      <c r="E175" s="22">
        <f>IF($A175="","",IF(VLOOKUP($C175,설정!$A$4:$B$12,2,0)=0,진행중!W24,MIN(WORKDAY(진행중!V24,VLOOKUP($C175,설정!$A$4:$B$12,2,0)-1),진행중!W24)))</f>
        <v/>
      </c>
      <c r="F175">
        <f>IF($A175="","",COUNTIF($A$2:$A175,$A175))</f>
        <v/>
      </c>
      <c r="G175">
        <f>IF($A175="","",$A175&amp;"|"&amp;$F175)</f>
        <v/>
      </c>
    </row>
    <row r="176">
      <c r="A176">
        <f>IF(AND(진행중!D24&lt;&gt;"",진행중!V24&lt;&gt;"",진행중!O24&lt;&gt;"",진행중!O24&lt;&gt;"X",진행중!AA24&lt;&gt;"완료"),진행중!O24,"")</f>
        <v/>
      </c>
      <c r="B176">
        <f>IF($A176="","",진행중!D24)</f>
        <v/>
      </c>
      <c r="C176" t="inlineStr">
        <is>
          <t>가설</t>
        </is>
      </c>
      <c r="D176" s="22">
        <f>IF($A176="","",진행중!V24)</f>
        <v/>
      </c>
      <c r="E176" s="22">
        <f>IF($A176="","",IF(VLOOKUP($C176,설정!$A$4:$B$12,2,0)=0,진행중!W24,MIN(WORKDAY(진행중!V24,VLOOKUP($C176,설정!$A$4:$B$12,2,0)-1),진행중!W24)))</f>
        <v/>
      </c>
      <c r="F176">
        <f>IF($A176="","",COUNTIF($A$2:$A176,$A176))</f>
        <v/>
      </c>
      <c r="G176">
        <f>IF($A176="","",$A176&amp;"|"&amp;$F176)</f>
        <v/>
      </c>
    </row>
    <row r="177">
      <c r="A177">
        <f>IF(AND(진행중!D24&lt;&gt;"",진행중!V24&lt;&gt;"",진행중!P24&lt;&gt;"",진행중!P24&lt;&gt;"X",진행중!AA24&lt;&gt;"완료"),진행중!P24,"")</f>
        <v/>
      </c>
      <c r="B177">
        <f>IF($A177="","",진행중!D24)</f>
        <v/>
      </c>
      <c r="C177" t="inlineStr">
        <is>
          <t>세대</t>
        </is>
      </c>
      <c r="D177" s="22">
        <f>IF($A177="","",진행중!V24)</f>
        <v/>
      </c>
      <c r="E177" s="22">
        <f>IF($A177="","",IF(VLOOKUP($C177,설정!$A$4:$B$12,2,0)=0,진행중!W24,MIN(WORKDAY(진행중!V24,VLOOKUP($C177,설정!$A$4:$B$12,2,0)-1),진행중!W24)))</f>
        <v/>
      </c>
      <c r="F177">
        <f>IF($A177="","",COUNTIF($A$2:$A177,$A177))</f>
        <v/>
      </c>
      <c r="G177">
        <f>IF($A177="","",$A177&amp;"|"&amp;$F177)</f>
        <v/>
      </c>
    </row>
    <row r="178">
      <c r="A178">
        <f>IF(AND(진행중!D24&lt;&gt;"",진행중!V24&lt;&gt;"",진행중!Q24&lt;&gt;"",진행중!Q24&lt;&gt;"X",진행중!AA24&lt;&gt;"완료"),진행중!Q24,"")</f>
        <v/>
      </c>
      <c r="B178">
        <f>IF($A178="","",진행중!D24)</f>
        <v/>
      </c>
      <c r="C178" t="inlineStr">
        <is>
          <t>내부</t>
        </is>
      </c>
      <c r="D178" s="22">
        <f>IF($A178="","",진행중!V24)</f>
        <v/>
      </c>
      <c r="E178" s="22">
        <f>IF($A178="","",IF(VLOOKUP($C178,설정!$A$4:$B$12,2,0)=0,진행중!W24,MIN(WORKDAY(진행중!V24,VLOOKUP($C178,설정!$A$4:$B$12,2,0)-1),진행중!W24)))</f>
        <v/>
      </c>
      <c r="F178">
        <f>IF($A178="","",COUNTIF($A$2:$A178,$A178))</f>
        <v/>
      </c>
      <c r="G178">
        <f>IF($A178="","",$A178&amp;"|"&amp;$F178)</f>
        <v/>
      </c>
    </row>
    <row r="179">
      <c r="A179">
        <f>IF(AND(진행중!D24&lt;&gt;"",진행중!V24&lt;&gt;"",진행중!R24&lt;&gt;"",진행중!R24&lt;&gt;"X",진행중!AA24&lt;&gt;"완료"),진행중!R24,"")</f>
        <v/>
      </c>
      <c r="B179">
        <f>IF($A179="","",진행중!D24)</f>
        <v/>
      </c>
      <c r="C179" t="inlineStr">
        <is>
          <t>외부</t>
        </is>
      </c>
      <c r="D179" s="22">
        <f>IF($A179="","",진행중!V24)</f>
        <v/>
      </c>
      <c r="E179" s="22">
        <f>IF($A179="","",IF(VLOOKUP($C179,설정!$A$4:$B$12,2,0)=0,진행중!W24,MIN(WORKDAY(진행중!V24,VLOOKUP($C179,설정!$A$4:$B$12,2,0)-1),진행중!W24)))</f>
        <v/>
      </c>
      <c r="F179">
        <f>IF($A179="","",COUNTIF($A$2:$A179,$A179))</f>
        <v/>
      </c>
      <c r="G179">
        <f>IF($A179="","",$A179&amp;"|"&amp;$F179)</f>
        <v/>
      </c>
    </row>
    <row r="180">
      <c r="A180">
        <f>IF(AND(진행중!D24&lt;&gt;"",진행중!V24&lt;&gt;"",진행중!S24&lt;&gt;"",진행중!S24&lt;&gt;"X",진행중!AA24&lt;&gt;"완료"),진행중!S24,"")</f>
        <v/>
      </c>
      <c r="B180">
        <f>IF($A180="","",진행중!D24)</f>
        <v/>
      </c>
      <c r="C180" t="inlineStr">
        <is>
          <t>창호</t>
        </is>
      </c>
      <c r="D180" s="22">
        <f>IF($A180="","",진행중!V24)</f>
        <v/>
      </c>
      <c r="E180" s="22">
        <f>IF($A180="","",IF(VLOOKUP($C180,설정!$A$4:$B$12,2,0)=0,진행중!W24,MIN(WORKDAY(진행중!V24,VLOOKUP($C180,설정!$A$4:$B$12,2,0)-1),진행중!W24)))</f>
        <v/>
      </c>
      <c r="F180">
        <f>IF($A180="","",COUNTIF($A$2:$A180,$A180))</f>
        <v/>
      </c>
      <c r="G180">
        <f>IF($A180="","",$A180&amp;"|"&amp;$F180)</f>
        <v/>
      </c>
    </row>
    <row r="181">
      <c r="A181">
        <f>IF(AND(진행중!D24&lt;&gt;"",진행중!V24&lt;&gt;"",진행중!T24&lt;&gt;"",진행중!T24&lt;&gt;"X",진행중!AA24&lt;&gt;"완료"),진행중!T24,"")</f>
        <v/>
      </c>
      <c r="B181">
        <f>IF($A181="","",진행중!D24)</f>
        <v/>
      </c>
      <c r="C181" t="inlineStr">
        <is>
          <t>조적</t>
        </is>
      </c>
      <c r="D181" s="22">
        <f>IF($A181="","",진행중!V24)</f>
        <v/>
      </c>
      <c r="E181" s="22">
        <f>IF($A181="","",IF(VLOOKUP($C181,설정!$A$4:$B$12,2,0)=0,진행중!W24,MIN(WORKDAY(진행중!V24,VLOOKUP($C181,설정!$A$4:$B$12,2,0)-1),진행중!W24)))</f>
        <v/>
      </c>
      <c r="F181">
        <f>IF($A181="","",COUNTIF($A$2:$A181,$A181))</f>
        <v/>
      </c>
      <c r="G181">
        <f>IF($A181="","",$A181&amp;"|"&amp;$F181)</f>
        <v/>
      </c>
    </row>
    <row r="182">
      <c r="A182">
        <f>IF(AND(진행중!D25&lt;&gt;"",진행중!V25&lt;&gt;"",진행중!L25&lt;&gt;"",진행중!L25&lt;&gt;"X",진행중!AA25&lt;&gt;"완료"),진행중!L25,"")</f>
        <v/>
      </c>
      <c r="B182">
        <f>IF($A182="","",진행중!D25)</f>
        <v/>
      </c>
      <c r="C182" t="inlineStr">
        <is>
          <t>PM</t>
        </is>
      </c>
      <c r="D182" s="22">
        <f>IF($A182="","",진행중!V25)</f>
        <v/>
      </c>
      <c r="E182" s="22">
        <f>IF($A182="","",IF(VLOOKUP($C182,설정!$A$4:$B$12,2,0)=0,진행중!W25,MIN(WORKDAY(진행중!V25,VLOOKUP($C182,설정!$A$4:$B$12,2,0)-1),진행중!W25)))</f>
        <v/>
      </c>
      <c r="F182">
        <f>IF($A182="","",COUNTIF($A$2:$A182,$A182))</f>
        <v/>
      </c>
      <c r="G182">
        <f>IF($A182="","",$A182&amp;"|"&amp;$F182)</f>
        <v/>
      </c>
    </row>
    <row r="183">
      <c r="A183">
        <f>IF(AND(진행중!D25&lt;&gt;"",진행중!V25&lt;&gt;"",진행중!M25&lt;&gt;"",진행중!M25&lt;&gt;"X",진행중!AA25&lt;&gt;"완료"),진행중!M25,"")</f>
        <v/>
      </c>
      <c r="B183">
        <f>IF($A183="","",진행중!D25)</f>
        <v/>
      </c>
      <c r="C183" t="inlineStr">
        <is>
          <t>검토</t>
        </is>
      </c>
      <c r="D183" s="22">
        <f>IF($A183="","",진행중!V25)</f>
        <v/>
      </c>
      <c r="E183" s="22">
        <f>IF($A183="","",IF(VLOOKUP($C183,설정!$A$4:$B$12,2,0)=0,진행중!W25,MIN(WORKDAY(진행중!V25,VLOOKUP($C183,설정!$A$4:$B$12,2,0)-1),진행중!W25)))</f>
        <v/>
      </c>
      <c r="F183">
        <f>IF($A183="","",COUNTIF($A$2:$A183,$A183))</f>
        <v/>
      </c>
      <c r="G183">
        <f>IF($A183="","",$A183&amp;"|"&amp;$F183)</f>
        <v/>
      </c>
    </row>
    <row r="184">
      <c r="A184">
        <f>IF(AND(진행중!D25&lt;&gt;"",진행중!V25&lt;&gt;"",진행중!N25&lt;&gt;"",진행중!N25&lt;&gt;"X",진행중!AA25&lt;&gt;"완료"),진행중!N25,"")</f>
        <v/>
      </c>
      <c r="B184">
        <f>IF($A184="","",진행중!D25)</f>
        <v/>
      </c>
      <c r="C184" t="inlineStr">
        <is>
          <t>내역</t>
        </is>
      </c>
      <c r="D184" s="22">
        <f>IF($A184="","",진행중!V25)</f>
        <v/>
      </c>
      <c r="E184" s="22">
        <f>IF($A184="","",IF(VLOOKUP($C184,설정!$A$4:$B$12,2,0)=0,진행중!W25,MIN(WORKDAY(진행중!V25,VLOOKUP($C184,설정!$A$4:$B$12,2,0)-1),진행중!W25)))</f>
        <v/>
      </c>
      <c r="F184">
        <f>IF($A184="","",COUNTIF($A$2:$A184,$A184))</f>
        <v/>
      </c>
      <c r="G184">
        <f>IF($A184="","",$A184&amp;"|"&amp;$F184)</f>
        <v/>
      </c>
    </row>
    <row r="185">
      <c r="A185">
        <f>IF(AND(진행중!D25&lt;&gt;"",진행중!V25&lt;&gt;"",진행중!O25&lt;&gt;"",진행중!O25&lt;&gt;"X",진행중!AA25&lt;&gt;"완료"),진행중!O25,"")</f>
        <v/>
      </c>
      <c r="B185">
        <f>IF($A185="","",진행중!D25)</f>
        <v/>
      </c>
      <c r="C185" t="inlineStr">
        <is>
          <t>가설</t>
        </is>
      </c>
      <c r="D185" s="22">
        <f>IF($A185="","",진행중!V25)</f>
        <v/>
      </c>
      <c r="E185" s="22">
        <f>IF($A185="","",IF(VLOOKUP($C185,설정!$A$4:$B$12,2,0)=0,진행중!W25,MIN(WORKDAY(진행중!V25,VLOOKUP($C185,설정!$A$4:$B$12,2,0)-1),진행중!W25)))</f>
        <v/>
      </c>
      <c r="F185">
        <f>IF($A185="","",COUNTIF($A$2:$A185,$A185))</f>
        <v/>
      </c>
      <c r="G185">
        <f>IF($A185="","",$A185&amp;"|"&amp;$F185)</f>
        <v/>
      </c>
    </row>
    <row r="186">
      <c r="A186">
        <f>IF(AND(진행중!D25&lt;&gt;"",진행중!V25&lt;&gt;"",진행중!P25&lt;&gt;"",진행중!P25&lt;&gt;"X",진행중!AA25&lt;&gt;"완료"),진행중!P25,"")</f>
        <v/>
      </c>
      <c r="B186">
        <f>IF($A186="","",진행중!D25)</f>
        <v/>
      </c>
      <c r="C186" t="inlineStr">
        <is>
          <t>세대</t>
        </is>
      </c>
      <c r="D186" s="22">
        <f>IF($A186="","",진행중!V25)</f>
        <v/>
      </c>
      <c r="E186" s="22">
        <f>IF($A186="","",IF(VLOOKUP($C186,설정!$A$4:$B$12,2,0)=0,진행중!W25,MIN(WORKDAY(진행중!V25,VLOOKUP($C186,설정!$A$4:$B$12,2,0)-1),진행중!W25)))</f>
        <v/>
      </c>
      <c r="F186">
        <f>IF($A186="","",COUNTIF($A$2:$A186,$A186))</f>
        <v/>
      </c>
      <c r="G186">
        <f>IF($A186="","",$A186&amp;"|"&amp;$F186)</f>
        <v/>
      </c>
    </row>
    <row r="187">
      <c r="A187">
        <f>IF(AND(진행중!D25&lt;&gt;"",진행중!V25&lt;&gt;"",진행중!Q25&lt;&gt;"",진행중!Q25&lt;&gt;"X",진행중!AA25&lt;&gt;"완료"),진행중!Q25,"")</f>
        <v/>
      </c>
      <c r="B187">
        <f>IF($A187="","",진행중!D25)</f>
        <v/>
      </c>
      <c r="C187" t="inlineStr">
        <is>
          <t>내부</t>
        </is>
      </c>
      <c r="D187" s="22">
        <f>IF($A187="","",진행중!V25)</f>
        <v/>
      </c>
      <c r="E187" s="22">
        <f>IF($A187="","",IF(VLOOKUP($C187,설정!$A$4:$B$12,2,0)=0,진행중!W25,MIN(WORKDAY(진행중!V25,VLOOKUP($C187,설정!$A$4:$B$12,2,0)-1),진행중!W25)))</f>
        <v/>
      </c>
      <c r="F187">
        <f>IF($A187="","",COUNTIF($A$2:$A187,$A187))</f>
        <v/>
      </c>
      <c r="G187">
        <f>IF($A187="","",$A187&amp;"|"&amp;$F187)</f>
        <v/>
      </c>
    </row>
    <row r="188">
      <c r="A188">
        <f>IF(AND(진행중!D25&lt;&gt;"",진행중!V25&lt;&gt;"",진행중!R25&lt;&gt;"",진행중!R25&lt;&gt;"X",진행중!AA25&lt;&gt;"완료"),진행중!R25,"")</f>
        <v/>
      </c>
      <c r="B188">
        <f>IF($A188="","",진행중!D25)</f>
        <v/>
      </c>
      <c r="C188" t="inlineStr">
        <is>
          <t>외부</t>
        </is>
      </c>
      <c r="D188" s="22">
        <f>IF($A188="","",진행중!V25)</f>
        <v/>
      </c>
      <c r="E188" s="22">
        <f>IF($A188="","",IF(VLOOKUP($C188,설정!$A$4:$B$12,2,0)=0,진행중!W25,MIN(WORKDAY(진행중!V25,VLOOKUP($C188,설정!$A$4:$B$12,2,0)-1),진행중!W25)))</f>
        <v/>
      </c>
      <c r="F188">
        <f>IF($A188="","",COUNTIF($A$2:$A188,$A188))</f>
        <v/>
      </c>
      <c r="G188">
        <f>IF($A188="","",$A188&amp;"|"&amp;$F188)</f>
        <v/>
      </c>
    </row>
    <row r="189">
      <c r="A189">
        <f>IF(AND(진행중!D25&lt;&gt;"",진행중!V25&lt;&gt;"",진행중!S25&lt;&gt;"",진행중!S25&lt;&gt;"X",진행중!AA25&lt;&gt;"완료"),진행중!S25,"")</f>
        <v/>
      </c>
      <c r="B189">
        <f>IF($A189="","",진행중!D25)</f>
        <v/>
      </c>
      <c r="C189" t="inlineStr">
        <is>
          <t>창호</t>
        </is>
      </c>
      <c r="D189" s="22">
        <f>IF($A189="","",진행중!V25)</f>
        <v/>
      </c>
      <c r="E189" s="22">
        <f>IF($A189="","",IF(VLOOKUP($C189,설정!$A$4:$B$12,2,0)=0,진행중!W25,MIN(WORKDAY(진행중!V25,VLOOKUP($C189,설정!$A$4:$B$12,2,0)-1),진행중!W25)))</f>
        <v/>
      </c>
      <c r="F189">
        <f>IF($A189="","",COUNTIF($A$2:$A189,$A189))</f>
        <v/>
      </c>
      <c r="G189">
        <f>IF($A189="","",$A189&amp;"|"&amp;$F189)</f>
        <v/>
      </c>
    </row>
    <row r="190">
      <c r="A190">
        <f>IF(AND(진행중!D25&lt;&gt;"",진행중!V25&lt;&gt;"",진행중!T25&lt;&gt;"",진행중!T25&lt;&gt;"X",진행중!AA25&lt;&gt;"완료"),진행중!T25,"")</f>
        <v/>
      </c>
      <c r="B190">
        <f>IF($A190="","",진행중!D25)</f>
        <v/>
      </c>
      <c r="C190" t="inlineStr">
        <is>
          <t>조적</t>
        </is>
      </c>
      <c r="D190" s="22">
        <f>IF($A190="","",진행중!V25)</f>
        <v/>
      </c>
      <c r="E190" s="22">
        <f>IF($A190="","",IF(VLOOKUP($C190,설정!$A$4:$B$12,2,0)=0,진행중!W25,MIN(WORKDAY(진행중!V25,VLOOKUP($C190,설정!$A$4:$B$12,2,0)-1),진행중!W25)))</f>
        <v/>
      </c>
      <c r="F190">
        <f>IF($A190="","",COUNTIF($A$2:$A190,$A190))</f>
        <v/>
      </c>
      <c r="G190">
        <f>IF($A190="","",$A190&amp;"|"&amp;$F190)</f>
        <v/>
      </c>
    </row>
    <row r="191">
      <c r="A191">
        <f>IF(AND(진행중!D26&lt;&gt;"",진행중!V26&lt;&gt;"",진행중!L26&lt;&gt;"",진행중!L26&lt;&gt;"X",진행중!AA26&lt;&gt;"완료"),진행중!L26,"")</f>
        <v/>
      </c>
      <c r="B191">
        <f>IF($A191="","",진행중!D26)</f>
        <v/>
      </c>
      <c r="C191" t="inlineStr">
        <is>
          <t>PM</t>
        </is>
      </c>
      <c r="D191" s="22">
        <f>IF($A191="","",진행중!V26)</f>
        <v/>
      </c>
      <c r="E191" s="22">
        <f>IF($A191="","",IF(VLOOKUP($C191,설정!$A$4:$B$12,2,0)=0,진행중!W26,MIN(WORKDAY(진행중!V26,VLOOKUP($C191,설정!$A$4:$B$12,2,0)-1),진행중!W26)))</f>
        <v/>
      </c>
      <c r="F191">
        <f>IF($A191="","",COUNTIF($A$2:$A191,$A191))</f>
        <v/>
      </c>
      <c r="G191">
        <f>IF($A191="","",$A191&amp;"|"&amp;$F191)</f>
        <v/>
      </c>
    </row>
    <row r="192">
      <c r="A192">
        <f>IF(AND(진행중!D26&lt;&gt;"",진행중!V26&lt;&gt;"",진행중!M26&lt;&gt;"",진행중!M26&lt;&gt;"X",진행중!AA26&lt;&gt;"완료"),진행중!M26,"")</f>
        <v/>
      </c>
      <c r="B192">
        <f>IF($A192="","",진행중!D26)</f>
        <v/>
      </c>
      <c r="C192" t="inlineStr">
        <is>
          <t>검토</t>
        </is>
      </c>
      <c r="D192" s="22">
        <f>IF($A192="","",진행중!V26)</f>
        <v/>
      </c>
      <c r="E192" s="22">
        <f>IF($A192="","",IF(VLOOKUP($C192,설정!$A$4:$B$12,2,0)=0,진행중!W26,MIN(WORKDAY(진행중!V26,VLOOKUP($C192,설정!$A$4:$B$12,2,0)-1),진행중!W26)))</f>
        <v/>
      </c>
      <c r="F192">
        <f>IF($A192="","",COUNTIF($A$2:$A192,$A192))</f>
        <v/>
      </c>
      <c r="G192">
        <f>IF($A192="","",$A192&amp;"|"&amp;$F192)</f>
        <v/>
      </c>
    </row>
    <row r="193">
      <c r="A193">
        <f>IF(AND(진행중!D26&lt;&gt;"",진행중!V26&lt;&gt;"",진행중!N26&lt;&gt;"",진행중!N26&lt;&gt;"X",진행중!AA26&lt;&gt;"완료"),진행중!N26,"")</f>
        <v/>
      </c>
      <c r="B193">
        <f>IF($A193="","",진행중!D26)</f>
        <v/>
      </c>
      <c r="C193" t="inlineStr">
        <is>
          <t>내역</t>
        </is>
      </c>
      <c r="D193" s="22">
        <f>IF($A193="","",진행중!V26)</f>
        <v/>
      </c>
      <c r="E193" s="22">
        <f>IF($A193="","",IF(VLOOKUP($C193,설정!$A$4:$B$12,2,0)=0,진행중!W26,MIN(WORKDAY(진행중!V26,VLOOKUP($C193,설정!$A$4:$B$12,2,0)-1),진행중!W26)))</f>
        <v/>
      </c>
      <c r="F193">
        <f>IF($A193="","",COUNTIF($A$2:$A193,$A193))</f>
        <v/>
      </c>
      <c r="G193">
        <f>IF($A193="","",$A193&amp;"|"&amp;$F193)</f>
        <v/>
      </c>
    </row>
    <row r="194">
      <c r="A194">
        <f>IF(AND(진행중!D26&lt;&gt;"",진행중!V26&lt;&gt;"",진행중!O26&lt;&gt;"",진행중!O26&lt;&gt;"X",진행중!AA26&lt;&gt;"완료"),진행중!O26,"")</f>
        <v/>
      </c>
      <c r="B194">
        <f>IF($A194="","",진행중!D26)</f>
        <v/>
      </c>
      <c r="C194" t="inlineStr">
        <is>
          <t>가설</t>
        </is>
      </c>
      <c r="D194" s="22">
        <f>IF($A194="","",진행중!V26)</f>
        <v/>
      </c>
      <c r="E194" s="22">
        <f>IF($A194="","",IF(VLOOKUP($C194,설정!$A$4:$B$12,2,0)=0,진행중!W26,MIN(WORKDAY(진행중!V26,VLOOKUP($C194,설정!$A$4:$B$12,2,0)-1),진행중!W26)))</f>
        <v/>
      </c>
      <c r="F194">
        <f>IF($A194="","",COUNTIF($A$2:$A194,$A194))</f>
        <v/>
      </c>
      <c r="G194">
        <f>IF($A194="","",$A194&amp;"|"&amp;$F194)</f>
        <v/>
      </c>
    </row>
    <row r="195">
      <c r="A195">
        <f>IF(AND(진행중!D26&lt;&gt;"",진행중!V26&lt;&gt;"",진행중!P26&lt;&gt;"",진행중!P26&lt;&gt;"X",진행중!AA26&lt;&gt;"완료"),진행중!P26,"")</f>
        <v/>
      </c>
      <c r="B195">
        <f>IF($A195="","",진행중!D26)</f>
        <v/>
      </c>
      <c r="C195" t="inlineStr">
        <is>
          <t>세대</t>
        </is>
      </c>
      <c r="D195" s="22">
        <f>IF($A195="","",진행중!V26)</f>
        <v/>
      </c>
      <c r="E195" s="22">
        <f>IF($A195="","",IF(VLOOKUP($C195,설정!$A$4:$B$12,2,0)=0,진행중!W26,MIN(WORKDAY(진행중!V26,VLOOKUP($C195,설정!$A$4:$B$12,2,0)-1),진행중!W26)))</f>
        <v/>
      </c>
      <c r="F195">
        <f>IF($A195="","",COUNTIF($A$2:$A195,$A195))</f>
        <v/>
      </c>
      <c r="G195">
        <f>IF($A195="","",$A195&amp;"|"&amp;$F195)</f>
        <v/>
      </c>
    </row>
    <row r="196">
      <c r="A196">
        <f>IF(AND(진행중!D26&lt;&gt;"",진행중!V26&lt;&gt;"",진행중!Q26&lt;&gt;"",진행중!Q26&lt;&gt;"X",진행중!AA26&lt;&gt;"완료"),진행중!Q26,"")</f>
        <v/>
      </c>
      <c r="B196">
        <f>IF($A196="","",진행중!D26)</f>
        <v/>
      </c>
      <c r="C196" t="inlineStr">
        <is>
          <t>내부</t>
        </is>
      </c>
      <c r="D196" s="22">
        <f>IF($A196="","",진행중!V26)</f>
        <v/>
      </c>
      <c r="E196" s="22">
        <f>IF($A196="","",IF(VLOOKUP($C196,설정!$A$4:$B$12,2,0)=0,진행중!W26,MIN(WORKDAY(진행중!V26,VLOOKUP($C196,설정!$A$4:$B$12,2,0)-1),진행중!W26)))</f>
        <v/>
      </c>
      <c r="F196">
        <f>IF($A196="","",COUNTIF($A$2:$A196,$A196))</f>
        <v/>
      </c>
      <c r="G196">
        <f>IF($A196="","",$A196&amp;"|"&amp;$F196)</f>
        <v/>
      </c>
    </row>
    <row r="197">
      <c r="A197">
        <f>IF(AND(진행중!D26&lt;&gt;"",진행중!V26&lt;&gt;"",진행중!R26&lt;&gt;"",진행중!R26&lt;&gt;"X",진행중!AA26&lt;&gt;"완료"),진행중!R26,"")</f>
        <v/>
      </c>
      <c r="B197">
        <f>IF($A197="","",진행중!D26)</f>
        <v/>
      </c>
      <c r="C197" t="inlineStr">
        <is>
          <t>외부</t>
        </is>
      </c>
      <c r="D197" s="22">
        <f>IF($A197="","",진행중!V26)</f>
        <v/>
      </c>
      <c r="E197" s="22">
        <f>IF($A197="","",IF(VLOOKUP($C197,설정!$A$4:$B$12,2,0)=0,진행중!W26,MIN(WORKDAY(진행중!V26,VLOOKUP($C197,설정!$A$4:$B$12,2,0)-1),진행중!W26)))</f>
        <v/>
      </c>
      <c r="F197">
        <f>IF($A197="","",COUNTIF($A$2:$A197,$A197))</f>
        <v/>
      </c>
      <c r="G197">
        <f>IF($A197="","",$A197&amp;"|"&amp;$F197)</f>
        <v/>
      </c>
    </row>
    <row r="198">
      <c r="A198">
        <f>IF(AND(진행중!D26&lt;&gt;"",진행중!V26&lt;&gt;"",진행중!S26&lt;&gt;"",진행중!S26&lt;&gt;"X",진행중!AA26&lt;&gt;"완료"),진행중!S26,"")</f>
        <v/>
      </c>
      <c r="B198">
        <f>IF($A198="","",진행중!D26)</f>
        <v/>
      </c>
      <c r="C198" t="inlineStr">
        <is>
          <t>창호</t>
        </is>
      </c>
      <c r="D198" s="22">
        <f>IF($A198="","",진행중!V26)</f>
        <v/>
      </c>
      <c r="E198" s="22">
        <f>IF($A198="","",IF(VLOOKUP($C198,설정!$A$4:$B$12,2,0)=0,진행중!W26,MIN(WORKDAY(진행중!V26,VLOOKUP($C198,설정!$A$4:$B$12,2,0)-1),진행중!W26)))</f>
        <v/>
      </c>
      <c r="F198">
        <f>IF($A198="","",COUNTIF($A$2:$A198,$A198))</f>
        <v/>
      </c>
      <c r="G198">
        <f>IF($A198="","",$A198&amp;"|"&amp;$F198)</f>
        <v/>
      </c>
    </row>
    <row r="199">
      <c r="A199">
        <f>IF(AND(진행중!D26&lt;&gt;"",진행중!V26&lt;&gt;"",진행중!T26&lt;&gt;"",진행중!T26&lt;&gt;"X",진행중!AA26&lt;&gt;"완료"),진행중!T26,"")</f>
        <v/>
      </c>
      <c r="B199">
        <f>IF($A199="","",진행중!D26)</f>
        <v/>
      </c>
      <c r="C199" t="inlineStr">
        <is>
          <t>조적</t>
        </is>
      </c>
      <c r="D199" s="22">
        <f>IF($A199="","",진행중!V26)</f>
        <v/>
      </c>
      <c r="E199" s="22">
        <f>IF($A199="","",IF(VLOOKUP($C199,설정!$A$4:$B$12,2,0)=0,진행중!W26,MIN(WORKDAY(진행중!V26,VLOOKUP($C199,설정!$A$4:$B$12,2,0)-1),진행중!W26)))</f>
        <v/>
      </c>
      <c r="F199">
        <f>IF($A199="","",COUNTIF($A$2:$A199,$A199))</f>
        <v/>
      </c>
      <c r="G199">
        <f>IF($A199="","",$A199&amp;"|"&amp;$F199)</f>
        <v/>
      </c>
    </row>
    <row r="200">
      <c r="A200">
        <f>IF(AND(진행중!D27&lt;&gt;"",진행중!V27&lt;&gt;"",진행중!L27&lt;&gt;"",진행중!L27&lt;&gt;"X",진행중!AA27&lt;&gt;"완료"),진행중!L27,"")</f>
        <v/>
      </c>
      <c r="B200">
        <f>IF($A200="","",진행중!D27)</f>
        <v/>
      </c>
      <c r="C200" t="inlineStr">
        <is>
          <t>PM</t>
        </is>
      </c>
      <c r="D200" s="22">
        <f>IF($A200="","",진행중!V27)</f>
        <v/>
      </c>
      <c r="E200" s="22">
        <f>IF($A200="","",IF(VLOOKUP($C200,설정!$A$4:$B$12,2,0)=0,진행중!W27,MIN(WORKDAY(진행중!V27,VLOOKUP($C200,설정!$A$4:$B$12,2,0)-1),진행중!W27)))</f>
        <v/>
      </c>
      <c r="F200">
        <f>IF($A200="","",COUNTIF($A$2:$A200,$A200))</f>
        <v/>
      </c>
      <c r="G200">
        <f>IF($A200="","",$A200&amp;"|"&amp;$F200)</f>
        <v/>
      </c>
    </row>
    <row r="201">
      <c r="A201">
        <f>IF(AND(진행중!D27&lt;&gt;"",진행중!V27&lt;&gt;"",진행중!M27&lt;&gt;"",진행중!M27&lt;&gt;"X",진행중!AA27&lt;&gt;"완료"),진행중!M27,"")</f>
        <v/>
      </c>
      <c r="B201">
        <f>IF($A201="","",진행중!D27)</f>
        <v/>
      </c>
      <c r="C201" t="inlineStr">
        <is>
          <t>검토</t>
        </is>
      </c>
      <c r="D201" s="22">
        <f>IF($A201="","",진행중!V27)</f>
        <v/>
      </c>
      <c r="E201" s="22">
        <f>IF($A201="","",IF(VLOOKUP($C201,설정!$A$4:$B$12,2,0)=0,진행중!W27,MIN(WORKDAY(진행중!V27,VLOOKUP($C201,설정!$A$4:$B$12,2,0)-1),진행중!W27)))</f>
        <v/>
      </c>
      <c r="F201">
        <f>IF($A201="","",COUNTIF($A$2:$A201,$A201))</f>
        <v/>
      </c>
      <c r="G201">
        <f>IF($A201="","",$A201&amp;"|"&amp;$F201)</f>
        <v/>
      </c>
    </row>
    <row r="202">
      <c r="A202">
        <f>IF(AND(진행중!D27&lt;&gt;"",진행중!V27&lt;&gt;"",진행중!N27&lt;&gt;"",진행중!N27&lt;&gt;"X",진행중!AA27&lt;&gt;"완료"),진행중!N27,"")</f>
        <v/>
      </c>
      <c r="B202">
        <f>IF($A202="","",진행중!D27)</f>
        <v/>
      </c>
      <c r="C202" t="inlineStr">
        <is>
          <t>내역</t>
        </is>
      </c>
      <c r="D202" s="22">
        <f>IF($A202="","",진행중!V27)</f>
        <v/>
      </c>
      <c r="E202" s="22">
        <f>IF($A202="","",IF(VLOOKUP($C202,설정!$A$4:$B$12,2,0)=0,진행중!W27,MIN(WORKDAY(진행중!V27,VLOOKUP($C202,설정!$A$4:$B$12,2,0)-1),진행중!W27)))</f>
        <v/>
      </c>
      <c r="F202">
        <f>IF($A202="","",COUNTIF($A$2:$A202,$A202))</f>
        <v/>
      </c>
      <c r="G202">
        <f>IF($A202="","",$A202&amp;"|"&amp;$F202)</f>
        <v/>
      </c>
    </row>
    <row r="203">
      <c r="A203">
        <f>IF(AND(진행중!D27&lt;&gt;"",진행중!V27&lt;&gt;"",진행중!O27&lt;&gt;"",진행중!O27&lt;&gt;"X",진행중!AA27&lt;&gt;"완료"),진행중!O27,"")</f>
        <v/>
      </c>
      <c r="B203">
        <f>IF($A203="","",진행중!D27)</f>
        <v/>
      </c>
      <c r="C203" t="inlineStr">
        <is>
          <t>가설</t>
        </is>
      </c>
      <c r="D203" s="22">
        <f>IF($A203="","",진행중!V27)</f>
        <v/>
      </c>
      <c r="E203" s="22">
        <f>IF($A203="","",IF(VLOOKUP($C203,설정!$A$4:$B$12,2,0)=0,진행중!W27,MIN(WORKDAY(진행중!V27,VLOOKUP($C203,설정!$A$4:$B$12,2,0)-1),진행중!W27)))</f>
        <v/>
      </c>
      <c r="F203">
        <f>IF($A203="","",COUNTIF($A$2:$A203,$A203))</f>
        <v/>
      </c>
      <c r="G203">
        <f>IF($A203="","",$A203&amp;"|"&amp;$F203)</f>
        <v/>
      </c>
    </row>
    <row r="204">
      <c r="A204">
        <f>IF(AND(진행중!D27&lt;&gt;"",진행중!V27&lt;&gt;"",진행중!P27&lt;&gt;"",진행중!P27&lt;&gt;"X",진행중!AA27&lt;&gt;"완료"),진행중!P27,"")</f>
        <v/>
      </c>
      <c r="B204">
        <f>IF($A204="","",진행중!D27)</f>
        <v/>
      </c>
      <c r="C204" t="inlineStr">
        <is>
          <t>세대</t>
        </is>
      </c>
      <c r="D204" s="22">
        <f>IF($A204="","",진행중!V27)</f>
        <v/>
      </c>
      <c r="E204" s="22">
        <f>IF($A204="","",IF(VLOOKUP($C204,설정!$A$4:$B$12,2,0)=0,진행중!W27,MIN(WORKDAY(진행중!V27,VLOOKUP($C204,설정!$A$4:$B$12,2,0)-1),진행중!W27)))</f>
        <v/>
      </c>
      <c r="F204">
        <f>IF($A204="","",COUNTIF($A$2:$A204,$A204))</f>
        <v/>
      </c>
      <c r="G204">
        <f>IF($A204="","",$A204&amp;"|"&amp;$F204)</f>
        <v/>
      </c>
    </row>
    <row r="205">
      <c r="A205">
        <f>IF(AND(진행중!D27&lt;&gt;"",진행중!V27&lt;&gt;"",진행중!Q27&lt;&gt;"",진행중!Q27&lt;&gt;"X",진행중!AA27&lt;&gt;"완료"),진행중!Q27,"")</f>
        <v/>
      </c>
      <c r="B205">
        <f>IF($A205="","",진행중!D27)</f>
        <v/>
      </c>
      <c r="C205" t="inlineStr">
        <is>
          <t>내부</t>
        </is>
      </c>
      <c r="D205" s="22">
        <f>IF($A205="","",진행중!V27)</f>
        <v/>
      </c>
      <c r="E205" s="22">
        <f>IF($A205="","",IF(VLOOKUP($C205,설정!$A$4:$B$12,2,0)=0,진행중!W27,MIN(WORKDAY(진행중!V27,VLOOKUP($C205,설정!$A$4:$B$12,2,0)-1),진행중!W27)))</f>
        <v/>
      </c>
      <c r="F205">
        <f>IF($A205="","",COUNTIF($A$2:$A205,$A205))</f>
        <v/>
      </c>
      <c r="G205">
        <f>IF($A205="","",$A205&amp;"|"&amp;$F205)</f>
        <v/>
      </c>
    </row>
    <row r="206">
      <c r="A206">
        <f>IF(AND(진행중!D27&lt;&gt;"",진행중!V27&lt;&gt;"",진행중!R27&lt;&gt;"",진행중!R27&lt;&gt;"X",진행중!AA27&lt;&gt;"완료"),진행중!R27,"")</f>
        <v/>
      </c>
      <c r="B206">
        <f>IF($A206="","",진행중!D27)</f>
        <v/>
      </c>
      <c r="C206" t="inlineStr">
        <is>
          <t>외부</t>
        </is>
      </c>
      <c r="D206" s="22">
        <f>IF($A206="","",진행중!V27)</f>
        <v/>
      </c>
      <c r="E206" s="22">
        <f>IF($A206="","",IF(VLOOKUP($C206,설정!$A$4:$B$12,2,0)=0,진행중!W27,MIN(WORKDAY(진행중!V27,VLOOKUP($C206,설정!$A$4:$B$12,2,0)-1),진행중!W27)))</f>
        <v/>
      </c>
      <c r="F206">
        <f>IF($A206="","",COUNTIF($A$2:$A206,$A206))</f>
        <v/>
      </c>
      <c r="G206">
        <f>IF($A206="","",$A206&amp;"|"&amp;$F206)</f>
        <v/>
      </c>
    </row>
    <row r="207">
      <c r="A207">
        <f>IF(AND(진행중!D27&lt;&gt;"",진행중!V27&lt;&gt;"",진행중!S27&lt;&gt;"",진행중!S27&lt;&gt;"X",진행중!AA27&lt;&gt;"완료"),진행중!S27,"")</f>
        <v/>
      </c>
      <c r="B207">
        <f>IF($A207="","",진행중!D27)</f>
        <v/>
      </c>
      <c r="C207" t="inlineStr">
        <is>
          <t>창호</t>
        </is>
      </c>
      <c r="D207" s="22">
        <f>IF($A207="","",진행중!V27)</f>
        <v/>
      </c>
      <c r="E207" s="22">
        <f>IF($A207="","",IF(VLOOKUP($C207,설정!$A$4:$B$12,2,0)=0,진행중!W27,MIN(WORKDAY(진행중!V27,VLOOKUP($C207,설정!$A$4:$B$12,2,0)-1),진행중!W27)))</f>
        <v/>
      </c>
      <c r="F207">
        <f>IF($A207="","",COUNTIF($A$2:$A207,$A207))</f>
        <v/>
      </c>
      <c r="G207">
        <f>IF($A207="","",$A207&amp;"|"&amp;$F207)</f>
        <v/>
      </c>
    </row>
    <row r="208">
      <c r="A208">
        <f>IF(AND(진행중!D27&lt;&gt;"",진행중!V27&lt;&gt;"",진행중!T27&lt;&gt;"",진행중!T27&lt;&gt;"X",진행중!AA27&lt;&gt;"완료"),진행중!T27,"")</f>
        <v/>
      </c>
      <c r="B208">
        <f>IF($A208="","",진행중!D27)</f>
        <v/>
      </c>
      <c r="C208" t="inlineStr">
        <is>
          <t>조적</t>
        </is>
      </c>
      <c r="D208" s="22">
        <f>IF($A208="","",진행중!V27)</f>
        <v/>
      </c>
      <c r="E208" s="22">
        <f>IF($A208="","",IF(VLOOKUP($C208,설정!$A$4:$B$12,2,0)=0,진행중!W27,MIN(WORKDAY(진행중!V27,VLOOKUP($C208,설정!$A$4:$B$12,2,0)-1),진행중!W27)))</f>
        <v/>
      </c>
      <c r="F208">
        <f>IF($A208="","",COUNTIF($A$2:$A208,$A208))</f>
        <v/>
      </c>
      <c r="G208">
        <f>IF($A208="","",$A208&amp;"|"&amp;$F208)</f>
        <v/>
      </c>
    </row>
    <row r="209">
      <c r="A209">
        <f>IF(AND(진행중!D28&lt;&gt;"",진행중!V28&lt;&gt;"",진행중!L28&lt;&gt;"",진행중!L28&lt;&gt;"X",진행중!AA28&lt;&gt;"완료"),진행중!L28,"")</f>
        <v/>
      </c>
      <c r="B209">
        <f>IF($A209="","",진행중!D28)</f>
        <v/>
      </c>
      <c r="C209" t="inlineStr">
        <is>
          <t>PM</t>
        </is>
      </c>
      <c r="D209" s="22">
        <f>IF($A209="","",진행중!V28)</f>
        <v/>
      </c>
      <c r="E209" s="22">
        <f>IF($A209="","",IF(VLOOKUP($C209,설정!$A$4:$B$12,2,0)=0,진행중!W28,MIN(WORKDAY(진행중!V28,VLOOKUP($C209,설정!$A$4:$B$12,2,0)-1),진행중!W28)))</f>
        <v/>
      </c>
      <c r="F209">
        <f>IF($A209="","",COUNTIF($A$2:$A209,$A209))</f>
        <v/>
      </c>
      <c r="G209">
        <f>IF($A209="","",$A209&amp;"|"&amp;$F209)</f>
        <v/>
      </c>
    </row>
    <row r="210">
      <c r="A210">
        <f>IF(AND(진행중!D28&lt;&gt;"",진행중!V28&lt;&gt;"",진행중!M28&lt;&gt;"",진행중!M28&lt;&gt;"X",진행중!AA28&lt;&gt;"완료"),진행중!M28,"")</f>
        <v/>
      </c>
      <c r="B210">
        <f>IF($A210="","",진행중!D28)</f>
        <v/>
      </c>
      <c r="C210" t="inlineStr">
        <is>
          <t>검토</t>
        </is>
      </c>
      <c r="D210" s="22">
        <f>IF($A210="","",진행중!V28)</f>
        <v/>
      </c>
      <c r="E210" s="22">
        <f>IF($A210="","",IF(VLOOKUP($C210,설정!$A$4:$B$12,2,0)=0,진행중!W28,MIN(WORKDAY(진행중!V28,VLOOKUP($C210,설정!$A$4:$B$12,2,0)-1),진행중!W28)))</f>
        <v/>
      </c>
      <c r="F210">
        <f>IF($A210="","",COUNTIF($A$2:$A210,$A210))</f>
        <v/>
      </c>
      <c r="G210">
        <f>IF($A210="","",$A210&amp;"|"&amp;$F210)</f>
        <v/>
      </c>
    </row>
    <row r="211">
      <c r="A211">
        <f>IF(AND(진행중!D28&lt;&gt;"",진행중!V28&lt;&gt;"",진행중!N28&lt;&gt;"",진행중!N28&lt;&gt;"X",진행중!AA28&lt;&gt;"완료"),진행중!N28,"")</f>
        <v/>
      </c>
      <c r="B211">
        <f>IF($A211="","",진행중!D28)</f>
        <v/>
      </c>
      <c r="C211" t="inlineStr">
        <is>
          <t>내역</t>
        </is>
      </c>
      <c r="D211" s="22">
        <f>IF($A211="","",진행중!V28)</f>
        <v/>
      </c>
      <c r="E211" s="22">
        <f>IF($A211="","",IF(VLOOKUP($C211,설정!$A$4:$B$12,2,0)=0,진행중!W28,MIN(WORKDAY(진행중!V28,VLOOKUP($C211,설정!$A$4:$B$12,2,0)-1),진행중!W28)))</f>
        <v/>
      </c>
      <c r="F211">
        <f>IF($A211="","",COUNTIF($A$2:$A211,$A211))</f>
        <v/>
      </c>
      <c r="G211">
        <f>IF($A211="","",$A211&amp;"|"&amp;$F211)</f>
        <v/>
      </c>
    </row>
    <row r="212">
      <c r="A212">
        <f>IF(AND(진행중!D28&lt;&gt;"",진행중!V28&lt;&gt;"",진행중!O28&lt;&gt;"",진행중!O28&lt;&gt;"X",진행중!AA28&lt;&gt;"완료"),진행중!O28,"")</f>
        <v/>
      </c>
      <c r="B212">
        <f>IF($A212="","",진행중!D28)</f>
        <v/>
      </c>
      <c r="C212" t="inlineStr">
        <is>
          <t>가설</t>
        </is>
      </c>
      <c r="D212" s="22">
        <f>IF($A212="","",진행중!V28)</f>
        <v/>
      </c>
      <c r="E212" s="22">
        <f>IF($A212="","",IF(VLOOKUP($C212,설정!$A$4:$B$12,2,0)=0,진행중!W28,MIN(WORKDAY(진행중!V28,VLOOKUP($C212,설정!$A$4:$B$12,2,0)-1),진행중!W28)))</f>
        <v/>
      </c>
      <c r="F212">
        <f>IF($A212="","",COUNTIF($A$2:$A212,$A212))</f>
        <v/>
      </c>
      <c r="G212">
        <f>IF($A212="","",$A212&amp;"|"&amp;$F212)</f>
        <v/>
      </c>
    </row>
    <row r="213">
      <c r="A213">
        <f>IF(AND(진행중!D28&lt;&gt;"",진행중!V28&lt;&gt;"",진행중!P28&lt;&gt;"",진행중!P28&lt;&gt;"X",진행중!AA28&lt;&gt;"완료"),진행중!P28,"")</f>
        <v/>
      </c>
      <c r="B213">
        <f>IF($A213="","",진행중!D28)</f>
        <v/>
      </c>
      <c r="C213" t="inlineStr">
        <is>
          <t>세대</t>
        </is>
      </c>
      <c r="D213" s="22">
        <f>IF($A213="","",진행중!V28)</f>
        <v/>
      </c>
      <c r="E213" s="22">
        <f>IF($A213="","",IF(VLOOKUP($C213,설정!$A$4:$B$12,2,0)=0,진행중!W28,MIN(WORKDAY(진행중!V28,VLOOKUP($C213,설정!$A$4:$B$12,2,0)-1),진행중!W28)))</f>
        <v/>
      </c>
      <c r="F213">
        <f>IF($A213="","",COUNTIF($A$2:$A213,$A213))</f>
        <v/>
      </c>
      <c r="G213">
        <f>IF($A213="","",$A213&amp;"|"&amp;$F213)</f>
        <v/>
      </c>
    </row>
    <row r="214">
      <c r="A214">
        <f>IF(AND(진행중!D28&lt;&gt;"",진행중!V28&lt;&gt;"",진행중!Q28&lt;&gt;"",진행중!Q28&lt;&gt;"X",진행중!AA28&lt;&gt;"완료"),진행중!Q28,"")</f>
        <v/>
      </c>
      <c r="B214">
        <f>IF($A214="","",진행중!D28)</f>
        <v/>
      </c>
      <c r="C214" t="inlineStr">
        <is>
          <t>내부</t>
        </is>
      </c>
      <c r="D214" s="22">
        <f>IF($A214="","",진행중!V28)</f>
        <v/>
      </c>
      <c r="E214" s="22">
        <f>IF($A214="","",IF(VLOOKUP($C214,설정!$A$4:$B$12,2,0)=0,진행중!W28,MIN(WORKDAY(진행중!V28,VLOOKUP($C214,설정!$A$4:$B$12,2,0)-1),진행중!W28)))</f>
        <v/>
      </c>
      <c r="F214">
        <f>IF($A214="","",COUNTIF($A$2:$A214,$A214))</f>
        <v/>
      </c>
      <c r="G214">
        <f>IF($A214="","",$A214&amp;"|"&amp;$F214)</f>
        <v/>
      </c>
    </row>
    <row r="215">
      <c r="A215">
        <f>IF(AND(진행중!D28&lt;&gt;"",진행중!V28&lt;&gt;"",진행중!R28&lt;&gt;"",진행중!R28&lt;&gt;"X",진행중!AA28&lt;&gt;"완료"),진행중!R28,"")</f>
        <v/>
      </c>
      <c r="B215">
        <f>IF($A215="","",진행중!D28)</f>
        <v/>
      </c>
      <c r="C215" t="inlineStr">
        <is>
          <t>외부</t>
        </is>
      </c>
      <c r="D215" s="22">
        <f>IF($A215="","",진행중!V28)</f>
        <v/>
      </c>
      <c r="E215" s="22">
        <f>IF($A215="","",IF(VLOOKUP($C215,설정!$A$4:$B$12,2,0)=0,진행중!W28,MIN(WORKDAY(진행중!V28,VLOOKUP($C215,설정!$A$4:$B$12,2,0)-1),진행중!W28)))</f>
        <v/>
      </c>
      <c r="F215">
        <f>IF($A215="","",COUNTIF($A$2:$A215,$A215))</f>
        <v/>
      </c>
      <c r="G215">
        <f>IF($A215="","",$A215&amp;"|"&amp;$F215)</f>
        <v/>
      </c>
    </row>
    <row r="216">
      <c r="A216">
        <f>IF(AND(진행중!D28&lt;&gt;"",진행중!V28&lt;&gt;"",진행중!S28&lt;&gt;"",진행중!S28&lt;&gt;"X",진행중!AA28&lt;&gt;"완료"),진행중!S28,"")</f>
        <v/>
      </c>
      <c r="B216">
        <f>IF($A216="","",진행중!D28)</f>
        <v/>
      </c>
      <c r="C216" t="inlineStr">
        <is>
          <t>창호</t>
        </is>
      </c>
      <c r="D216" s="22">
        <f>IF($A216="","",진행중!V28)</f>
        <v/>
      </c>
      <c r="E216" s="22">
        <f>IF($A216="","",IF(VLOOKUP($C216,설정!$A$4:$B$12,2,0)=0,진행중!W28,MIN(WORKDAY(진행중!V28,VLOOKUP($C216,설정!$A$4:$B$12,2,0)-1),진행중!W28)))</f>
        <v/>
      </c>
      <c r="F216">
        <f>IF($A216="","",COUNTIF($A$2:$A216,$A216))</f>
        <v/>
      </c>
      <c r="G216">
        <f>IF($A216="","",$A216&amp;"|"&amp;$F216)</f>
        <v/>
      </c>
    </row>
    <row r="217">
      <c r="A217">
        <f>IF(AND(진행중!D28&lt;&gt;"",진행중!V28&lt;&gt;"",진행중!T28&lt;&gt;"",진행중!T28&lt;&gt;"X",진행중!AA28&lt;&gt;"완료"),진행중!T28,"")</f>
        <v/>
      </c>
      <c r="B217">
        <f>IF($A217="","",진행중!D28)</f>
        <v/>
      </c>
      <c r="C217" t="inlineStr">
        <is>
          <t>조적</t>
        </is>
      </c>
      <c r="D217" s="22">
        <f>IF($A217="","",진행중!V28)</f>
        <v/>
      </c>
      <c r="E217" s="22">
        <f>IF($A217="","",IF(VLOOKUP($C217,설정!$A$4:$B$12,2,0)=0,진행중!W28,MIN(WORKDAY(진행중!V28,VLOOKUP($C217,설정!$A$4:$B$12,2,0)-1),진행중!W28)))</f>
        <v/>
      </c>
      <c r="F217">
        <f>IF($A217="","",COUNTIF($A$2:$A217,$A217))</f>
        <v/>
      </c>
      <c r="G217">
        <f>IF($A217="","",$A217&amp;"|"&amp;$F217)</f>
        <v/>
      </c>
    </row>
    <row r="218">
      <c r="A218">
        <f>IF(AND(진행중!D29&lt;&gt;"",진행중!V29&lt;&gt;"",진행중!L29&lt;&gt;"",진행중!L29&lt;&gt;"X",진행중!AA29&lt;&gt;"완료"),진행중!L29,"")</f>
        <v/>
      </c>
      <c r="B218">
        <f>IF($A218="","",진행중!D29)</f>
        <v/>
      </c>
      <c r="C218" t="inlineStr">
        <is>
          <t>PM</t>
        </is>
      </c>
      <c r="D218" s="22">
        <f>IF($A218="","",진행중!V29)</f>
        <v/>
      </c>
      <c r="E218" s="22">
        <f>IF($A218="","",IF(VLOOKUP($C218,설정!$A$4:$B$12,2,0)=0,진행중!W29,MIN(WORKDAY(진행중!V29,VLOOKUP($C218,설정!$A$4:$B$12,2,0)-1),진행중!W29)))</f>
        <v/>
      </c>
      <c r="F218">
        <f>IF($A218="","",COUNTIF($A$2:$A218,$A218))</f>
        <v/>
      </c>
      <c r="G218">
        <f>IF($A218="","",$A218&amp;"|"&amp;$F218)</f>
        <v/>
      </c>
    </row>
    <row r="219">
      <c r="A219">
        <f>IF(AND(진행중!D29&lt;&gt;"",진행중!V29&lt;&gt;"",진행중!M29&lt;&gt;"",진행중!M29&lt;&gt;"X",진행중!AA29&lt;&gt;"완료"),진행중!M29,"")</f>
        <v/>
      </c>
      <c r="B219">
        <f>IF($A219="","",진행중!D29)</f>
        <v/>
      </c>
      <c r="C219" t="inlineStr">
        <is>
          <t>검토</t>
        </is>
      </c>
      <c r="D219" s="22">
        <f>IF($A219="","",진행중!V29)</f>
        <v/>
      </c>
      <c r="E219" s="22">
        <f>IF($A219="","",IF(VLOOKUP($C219,설정!$A$4:$B$12,2,0)=0,진행중!W29,MIN(WORKDAY(진행중!V29,VLOOKUP($C219,설정!$A$4:$B$12,2,0)-1),진행중!W29)))</f>
        <v/>
      </c>
      <c r="F219">
        <f>IF($A219="","",COUNTIF($A$2:$A219,$A219))</f>
        <v/>
      </c>
      <c r="G219">
        <f>IF($A219="","",$A219&amp;"|"&amp;$F219)</f>
        <v/>
      </c>
    </row>
    <row r="220">
      <c r="A220">
        <f>IF(AND(진행중!D29&lt;&gt;"",진행중!V29&lt;&gt;"",진행중!N29&lt;&gt;"",진행중!N29&lt;&gt;"X",진행중!AA29&lt;&gt;"완료"),진행중!N29,"")</f>
        <v/>
      </c>
      <c r="B220">
        <f>IF($A220="","",진행중!D29)</f>
        <v/>
      </c>
      <c r="C220" t="inlineStr">
        <is>
          <t>내역</t>
        </is>
      </c>
      <c r="D220" s="22">
        <f>IF($A220="","",진행중!V29)</f>
        <v/>
      </c>
      <c r="E220" s="22">
        <f>IF($A220="","",IF(VLOOKUP($C220,설정!$A$4:$B$12,2,0)=0,진행중!W29,MIN(WORKDAY(진행중!V29,VLOOKUP($C220,설정!$A$4:$B$12,2,0)-1),진행중!W29)))</f>
        <v/>
      </c>
      <c r="F220">
        <f>IF($A220="","",COUNTIF($A$2:$A220,$A220))</f>
        <v/>
      </c>
      <c r="G220">
        <f>IF($A220="","",$A220&amp;"|"&amp;$F220)</f>
        <v/>
      </c>
    </row>
    <row r="221">
      <c r="A221">
        <f>IF(AND(진행중!D29&lt;&gt;"",진행중!V29&lt;&gt;"",진행중!O29&lt;&gt;"",진행중!O29&lt;&gt;"X",진행중!AA29&lt;&gt;"완료"),진행중!O29,"")</f>
        <v/>
      </c>
      <c r="B221">
        <f>IF($A221="","",진행중!D29)</f>
        <v/>
      </c>
      <c r="C221" t="inlineStr">
        <is>
          <t>가설</t>
        </is>
      </c>
      <c r="D221" s="22">
        <f>IF($A221="","",진행중!V29)</f>
        <v/>
      </c>
      <c r="E221" s="22">
        <f>IF($A221="","",IF(VLOOKUP($C221,설정!$A$4:$B$12,2,0)=0,진행중!W29,MIN(WORKDAY(진행중!V29,VLOOKUP($C221,설정!$A$4:$B$12,2,0)-1),진행중!W29)))</f>
        <v/>
      </c>
      <c r="F221">
        <f>IF($A221="","",COUNTIF($A$2:$A221,$A221))</f>
        <v/>
      </c>
      <c r="G221">
        <f>IF($A221="","",$A221&amp;"|"&amp;$F221)</f>
        <v/>
      </c>
    </row>
    <row r="222">
      <c r="A222">
        <f>IF(AND(진행중!D29&lt;&gt;"",진행중!V29&lt;&gt;"",진행중!P29&lt;&gt;"",진행중!P29&lt;&gt;"X",진행중!AA29&lt;&gt;"완료"),진행중!P29,"")</f>
        <v/>
      </c>
      <c r="B222">
        <f>IF($A222="","",진행중!D29)</f>
        <v/>
      </c>
      <c r="C222" t="inlineStr">
        <is>
          <t>세대</t>
        </is>
      </c>
      <c r="D222" s="22">
        <f>IF($A222="","",진행중!V29)</f>
        <v/>
      </c>
      <c r="E222" s="22">
        <f>IF($A222="","",IF(VLOOKUP($C222,설정!$A$4:$B$12,2,0)=0,진행중!W29,MIN(WORKDAY(진행중!V29,VLOOKUP($C222,설정!$A$4:$B$12,2,0)-1),진행중!W29)))</f>
        <v/>
      </c>
      <c r="F222">
        <f>IF($A222="","",COUNTIF($A$2:$A222,$A222))</f>
        <v/>
      </c>
      <c r="G222">
        <f>IF($A222="","",$A222&amp;"|"&amp;$F222)</f>
        <v/>
      </c>
    </row>
    <row r="223">
      <c r="A223">
        <f>IF(AND(진행중!D29&lt;&gt;"",진행중!V29&lt;&gt;"",진행중!Q29&lt;&gt;"",진행중!Q29&lt;&gt;"X",진행중!AA29&lt;&gt;"완료"),진행중!Q29,"")</f>
        <v/>
      </c>
      <c r="B223">
        <f>IF($A223="","",진행중!D29)</f>
        <v/>
      </c>
      <c r="C223" t="inlineStr">
        <is>
          <t>내부</t>
        </is>
      </c>
      <c r="D223" s="22">
        <f>IF($A223="","",진행중!V29)</f>
        <v/>
      </c>
      <c r="E223" s="22">
        <f>IF($A223="","",IF(VLOOKUP($C223,설정!$A$4:$B$12,2,0)=0,진행중!W29,MIN(WORKDAY(진행중!V29,VLOOKUP($C223,설정!$A$4:$B$12,2,0)-1),진행중!W29)))</f>
        <v/>
      </c>
      <c r="F223">
        <f>IF($A223="","",COUNTIF($A$2:$A223,$A223))</f>
        <v/>
      </c>
      <c r="G223">
        <f>IF($A223="","",$A223&amp;"|"&amp;$F223)</f>
        <v/>
      </c>
    </row>
    <row r="224">
      <c r="A224">
        <f>IF(AND(진행중!D29&lt;&gt;"",진행중!V29&lt;&gt;"",진행중!R29&lt;&gt;"",진행중!R29&lt;&gt;"X",진행중!AA29&lt;&gt;"완료"),진행중!R29,"")</f>
        <v/>
      </c>
      <c r="B224">
        <f>IF($A224="","",진행중!D29)</f>
        <v/>
      </c>
      <c r="C224" t="inlineStr">
        <is>
          <t>외부</t>
        </is>
      </c>
      <c r="D224" s="22">
        <f>IF($A224="","",진행중!V29)</f>
        <v/>
      </c>
      <c r="E224" s="22">
        <f>IF($A224="","",IF(VLOOKUP($C224,설정!$A$4:$B$12,2,0)=0,진행중!W29,MIN(WORKDAY(진행중!V29,VLOOKUP($C224,설정!$A$4:$B$12,2,0)-1),진행중!W29)))</f>
        <v/>
      </c>
      <c r="F224">
        <f>IF($A224="","",COUNTIF($A$2:$A224,$A224))</f>
        <v/>
      </c>
      <c r="G224">
        <f>IF($A224="","",$A224&amp;"|"&amp;$F224)</f>
        <v/>
      </c>
    </row>
    <row r="225">
      <c r="A225">
        <f>IF(AND(진행중!D29&lt;&gt;"",진행중!V29&lt;&gt;"",진행중!S29&lt;&gt;"",진행중!S29&lt;&gt;"X",진행중!AA29&lt;&gt;"완료"),진행중!S29,"")</f>
        <v/>
      </c>
      <c r="B225">
        <f>IF($A225="","",진행중!D29)</f>
        <v/>
      </c>
      <c r="C225" t="inlineStr">
        <is>
          <t>창호</t>
        </is>
      </c>
      <c r="D225" s="22">
        <f>IF($A225="","",진행중!V29)</f>
        <v/>
      </c>
      <c r="E225" s="22">
        <f>IF($A225="","",IF(VLOOKUP($C225,설정!$A$4:$B$12,2,0)=0,진행중!W29,MIN(WORKDAY(진행중!V29,VLOOKUP($C225,설정!$A$4:$B$12,2,0)-1),진행중!W29)))</f>
        <v/>
      </c>
      <c r="F225">
        <f>IF($A225="","",COUNTIF($A$2:$A225,$A225))</f>
        <v/>
      </c>
      <c r="G225">
        <f>IF($A225="","",$A225&amp;"|"&amp;$F225)</f>
        <v/>
      </c>
    </row>
    <row r="226">
      <c r="A226">
        <f>IF(AND(진행중!D29&lt;&gt;"",진행중!V29&lt;&gt;"",진행중!T29&lt;&gt;"",진행중!T29&lt;&gt;"X",진행중!AA29&lt;&gt;"완료"),진행중!T29,"")</f>
        <v/>
      </c>
      <c r="B226">
        <f>IF($A226="","",진행중!D29)</f>
        <v/>
      </c>
      <c r="C226" t="inlineStr">
        <is>
          <t>조적</t>
        </is>
      </c>
      <c r="D226" s="22">
        <f>IF($A226="","",진행중!V29)</f>
        <v/>
      </c>
      <c r="E226" s="22">
        <f>IF($A226="","",IF(VLOOKUP($C226,설정!$A$4:$B$12,2,0)=0,진행중!W29,MIN(WORKDAY(진행중!V29,VLOOKUP($C226,설정!$A$4:$B$12,2,0)-1),진행중!W29)))</f>
        <v/>
      </c>
      <c r="F226">
        <f>IF($A226="","",COUNTIF($A$2:$A226,$A226))</f>
        <v/>
      </c>
      <c r="G226">
        <f>IF($A226="","",$A226&amp;"|"&amp;$F226)</f>
        <v/>
      </c>
    </row>
    <row r="227">
      <c r="A227">
        <f>IF(AND(진행중!D30&lt;&gt;"",진행중!V30&lt;&gt;"",진행중!L30&lt;&gt;"",진행중!L30&lt;&gt;"X",진행중!AA30&lt;&gt;"완료"),진행중!L30,"")</f>
        <v/>
      </c>
      <c r="B227">
        <f>IF($A227="","",진행중!D30)</f>
        <v/>
      </c>
      <c r="C227" t="inlineStr">
        <is>
          <t>PM</t>
        </is>
      </c>
      <c r="D227" s="22">
        <f>IF($A227="","",진행중!V30)</f>
        <v/>
      </c>
      <c r="E227" s="22">
        <f>IF($A227="","",IF(VLOOKUP($C227,설정!$A$4:$B$12,2,0)=0,진행중!W30,MIN(WORKDAY(진행중!V30,VLOOKUP($C227,설정!$A$4:$B$12,2,0)-1),진행중!W30)))</f>
        <v/>
      </c>
      <c r="F227">
        <f>IF($A227="","",COUNTIF($A$2:$A227,$A227))</f>
        <v/>
      </c>
      <c r="G227">
        <f>IF($A227="","",$A227&amp;"|"&amp;$F227)</f>
        <v/>
      </c>
    </row>
    <row r="228">
      <c r="A228">
        <f>IF(AND(진행중!D30&lt;&gt;"",진행중!V30&lt;&gt;"",진행중!M30&lt;&gt;"",진행중!M30&lt;&gt;"X",진행중!AA30&lt;&gt;"완료"),진행중!M30,"")</f>
        <v/>
      </c>
      <c r="B228">
        <f>IF($A228="","",진행중!D30)</f>
        <v/>
      </c>
      <c r="C228" t="inlineStr">
        <is>
          <t>검토</t>
        </is>
      </c>
      <c r="D228" s="22">
        <f>IF($A228="","",진행중!V30)</f>
        <v/>
      </c>
      <c r="E228" s="22">
        <f>IF($A228="","",IF(VLOOKUP($C228,설정!$A$4:$B$12,2,0)=0,진행중!W30,MIN(WORKDAY(진행중!V30,VLOOKUP($C228,설정!$A$4:$B$12,2,0)-1),진행중!W30)))</f>
        <v/>
      </c>
      <c r="F228">
        <f>IF($A228="","",COUNTIF($A$2:$A228,$A228))</f>
        <v/>
      </c>
      <c r="G228">
        <f>IF($A228="","",$A228&amp;"|"&amp;$F228)</f>
        <v/>
      </c>
    </row>
    <row r="229">
      <c r="A229">
        <f>IF(AND(진행중!D30&lt;&gt;"",진행중!V30&lt;&gt;"",진행중!N30&lt;&gt;"",진행중!N30&lt;&gt;"X",진행중!AA30&lt;&gt;"완료"),진행중!N30,"")</f>
        <v/>
      </c>
      <c r="B229">
        <f>IF($A229="","",진행중!D30)</f>
        <v/>
      </c>
      <c r="C229" t="inlineStr">
        <is>
          <t>내역</t>
        </is>
      </c>
      <c r="D229" s="22">
        <f>IF($A229="","",진행중!V30)</f>
        <v/>
      </c>
      <c r="E229" s="22">
        <f>IF($A229="","",IF(VLOOKUP($C229,설정!$A$4:$B$12,2,0)=0,진행중!W30,MIN(WORKDAY(진행중!V30,VLOOKUP($C229,설정!$A$4:$B$12,2,0)-1),진행중!W30)))</f>
        <v/>
      </c>
      <c r="F229">
        <f>IF($A229="","",COUNTIF($A$2:$A229,$A229))</f>
        <v/>
      </c>
      <c r="G229">
        <f>IF($A229="","",$A229&amp;"|"&amp;$F229)</f>
        <v/>
      </c>
    </row>
    <row r="230">
      <c r="A230">
        <f>IF(AND(진행중!D30&lt;&gt;"",진행중!V30&lt;&gt;"",진행중!O30&lt;&gt;"",진행중!O30&lt;&gt;"X",진행중!AA30&lt;&gt;"완료"),진행중!O30,"")</f>
        <v/>
      </c>
      <c r="B230">
        <f>IF($A230="","",진행중!D30)</f>
        <v/>
      </c>
      <c r="C230" t="inlineStr">
        <is>
          <t>가설</t>
        </is>
      </c>
      <c r="D230" s="22">
        <f>IF($A230="","",진행중!V30)</f>
        <v/>
      </c>
      <c r="E230" s="22">
        <f>IF($A230="","",IF(VLOOKUP($C230,설정!$A$4:$B$12,2,0)=0,진행중!W30,MIN(WORKDAY(진행중!V30,VLOOKUP($C230,설정!$A$4:$B$12,2,0)-1),진행중!W30)))</f>
        <v/>
      </c>
      <c r="F230">
        <f>IF($A230="","",COUNTIF($A$2:$A230,$A230))</f>
        <v/>
      </c>
      <c r="G230">
        <f>IF($A230="","",$A230&amp;"|"&amp;$F230)</f>
        <v/>
      </c>
    </row>
    <row r="231">
      <c r="A231">
        <f>IF(AND(진행중!D30&lt;&gt;"",진행중!V30&lt;&gt;"",진행중!P30&lt;&gt;"",진행중!P30&lt;&gt;"X",진행중!AA30&lt;&gt;"완료"),진행중!P30,"")</f>
        <v/>
      </c>
      <c r="B231">
        <f>IF($A231="","",진행중!D30)</f>
        <v/>
      </c>
      <c r="C231" t="inlineStr">
        <is>
          <t>세대</t>
        </is>
      </c>
      <c r="D231" s="22">
        <f>IF($A231="","",진행중!V30)</f>
        <v/>
      </c>
      <c r="E231" s="22">
        <f>IF($A231="","",IF(VLOOKUP($C231,설정!$A$4:$B$12,2,0)=0,진행중!W30,MIN(WORKDAY(진행중!V30,VLOOKUP($C231,설정!$A$4:$B$12,2,0)-1),진행중!W30)))</f>
        <v/>
      </c>
      <c r="F231">
        <f>IF($A231="","",COUNTIF($A$2:$A231,$A231))</f>
        <v/>
      </c>
      <c r="G231">
        <f>IF($A231="","",$A231&amp;"|"&amp;$F231)</f>
        <v/>
      </c>
    </row>
    <row r="232">
      <c r="A232">
        <f>IF(AND(진행중!D30&lt;&gt;"",진행중!V30&lt;&gt;"",진행중!Q30&lt;&gt;"",진행중!Q30&lt;&gt;"X",진행중!AA30&lt;&gt;"완료"),진행중!Q30,"")</f>
        <v/>
      </c>
      <c r="B232">
        <f>IF($A232="","",진행중!D30)</f>
        <v/>
      </c>
      <c r="C232" t="inlineStr">
        <is>
          <t>내부</t>
        </is>
      </c>
      <c r="D232" s="22">
        <f>IF($A232="","",진행중!V30)</f>
        <v/>
      </c>
      <c r="E232" s="22">
        <f>IF($A232="","",IF(VLOOKUP($C232,설정!$A$4:$B$12,2,0)=0,진행중!W30,MIN(WORKDAY(진행중!V30,VLOOKUP($C232,설정!$A$4:$B$12,2,0)-1),진행중!W30)))</f>
        <v/>
      </c>
      <c r="F232">
        <f>IF($A232="","",COUNTIF($A$2:$A232,$A232))</f>
        <v/>
      </c>
      <c r="G232">
        <f>IF($A232="","",$A232&amp;"|"&amp;$F232)</f>
        <v/>
      </c>
    </row>
    <row r="233">
      <c r="A233">
        <f>IF(AND(진행중!D30&lt;&gt;"",진행중!V30&lt;&gt;"",진행중!R30&lt;&gt;"",진행중!R30&lt;&gt;"X",진행중!AA30&lt;&gt;"완료"),진행중!R30,"")</f>
        <v/>
      </c>
      <c r="B233">
        <f>IF($A233="","",진행중!D30)</f>
        <v/>
      </c>
      <c r="C233" t="inlineStr">
        <is>
          <t>외부</t>
        </is>
      </c>
      <c r="D233" s="22">
        <f>IF($A233="","",진행중!V30)</f>
        <v/>
      </c>
      <c r="E233" s="22">
        <f>IF($A233="","",IF(VLOOKUP($C233,설정!$A$4:$B$12,2,0)=0,진행중!W30,MIN(WORKDAY(진행중!V30,VLOOKUP($C233,설정!$A$4:$B$12,2,0)-1),진행중!W30)))</f>
        <v/>
      </c>
      <c r="F233">
        <f>IF($A233="","",COUNTIF($A$2:$A233,$A233))</f>
        <v/>
      </c>
      <c r="G233">
        <f>IF($A233="","",$A233&amp;"|"&amp;$F233)</f>
        <v/>
      </c>
    </row>
    <row r="234">
      <c r="A234">
        <f>IF(AND(진행중!D30&lt;&gt;"",진행중!V30&lt;&gt;"",진행중!S30&lt;&gt;"",진행중!S30&lt;&gt;"X",진행중!AA30&lt;&gt;"완료"),진행중!S30,"")</f>
        <v/>
      </c>
      <c r="B234">
        <f>IF($A234="","",진행중!D30)</f>
        <v/>
      </c>
      <c r="C234" t="inlineStr">
        <is>
          <t>창호</t>
        </is>
      </c>
      <c r="D234" s="22">
        <f>IF($A234="","",진행중!V30)</f>
        <v/>
      </c>
      <c r="E234" s="22">
        <f>IF($A234="","",IF(VLOOKUP($C234,설정!$A$4:$B$12,2,0)=0,진행중!W30,MIN(WORKDAY(진행중!V30,VLOOKUP($C234,설정!$A$4:$B$12,2,0)-1),진행중!W30)))</f>
        <v/>
      </c>
      <c r="F234">
        <f>IF($A234="","",COUNTIF($A$2:$A234,$A234))</f>
        <v/>
      </c>
      <c r="G234">
        <f>IF($A234="","",$A234&amp;"|"&amp;$F234)</f>
        <v/>
      </c>
    </row>
    <row r="235">
      <c r="A235">
        <f>IF(AND(진행중!D30&lt;&gt;"",진행중!V30&lt;&gt;"",진행중!T30&lt;&gt;"",진행중!T30&lt;&gt;"X",진행중!AA30&lt;&gt;"완료"),진행중!T30,"")</f>
        <v/>
      </c>
      <c r="B235">
        <f>IF($A235="","",진행중!D30)</f>
        <v/>
      </c>
      <c r="C235" t="inlineStr">
        <is>
          <t>조적</t>
        </is>
      </c>
      <c r="D235" s="22">
        <f>IF($A235="","",진행중!V30)</f>
        <v/>
      </c>
      <c r="E235" s="22">
        <f>IF($A235="","",IF(VLOOKUP($C235,설정!$A$4:$B$12,2,0)=0,진행중!W30,MIN(WORKDAY(진행중!V30,VLOOKUP($C235,설정!$A$4:$B$12,2,0)-1),진행중!W30)))</f>
        <v/>
      </c>
      <c r="F235">
        <f>IF($A235="","",COUNTIF($A$2:$A235,$A235))</f>
        <v/>
      </c>
      <c r="G235">
        <f>IF($A235="","",$A235&amp;"|"&amp;$F235)</f>
        <v/>
      </c>
    </row>
    <row r="236">
      <c r="A236">
        <f>IF(AND(진행중!D31&lt;&gt;"",진행중!V31&lt;&gt;"",진행중!L31&lt;&gt;"",진행중!L31&lt;&gt;"X",진행중!AA31&lt;&gt;"완료"),진행중!L31,"")</f>
        <v/>
      </c>
      <c r="B236">
        <f>IF($A236="","",진행중!D31)</f>
        <v/>
      </c>
      <c r="C236" t="inlineStr">
        <is>
          <t>PM</t>
        </is>
      </c>
      <c r="D236" s="22">
        <f>IF($A236="","",진행중!V31)</f>
        <v/>
      </c>
      <c r="E236" s="22">
        <f>IF($A236="","",IF(VLOOKUP($C236,설정!$A$4:$B$12,2,0)=0,진행중!W31,MIN(WORKDAY(진행중!V31,VLOOKUP($C236,설정!$A$4:$B$12,2,0)-1),진행중!W31)))</f>
        <v/>
      </c>
      <c r="F236">
        <f>IF($A236="","",COUNTIF($A$2:$A236,$A236))</f>
        <v/>
      </c>
      <c r="G236">
        <f>IF($A236="","",$A236&amp;"|"&amp;$F236)</f>
        <v/>
      </c>
    </row>
    <row r="237">
      <c r="A237">
        <f>IF(AND(진행중!D31&lt;&gt;"",진행중!V31&lt;&gt;"",진행중!M31&lt;&gt;"",진행중!M31&lt;&gt;"X",진행중!AA31&lt;&gt;"완료"),진행중!M31,"")</f>
        <v/>
      </c>
      <c r="B237">
        <f>IF($A237="","",진행중!D31)</f>
        <v/>
      </c>
      <c r="C237" t="inlineStr">
        <is>
          <t>검토</t>
        </is>
      </c>
      <c r="D237" s="22">
        <f>IF($A237="","",진행중!V31)</f>
        <v/>
      </c>
      <c r="E237" s="22">
        <f>IF($A237="","",IF(VLOOKUP($C237,설정!$A$4:$B$12,2,0)=0,진행중!W31,MIN(WORKDAY(진행중!V31,VLOOKUP($C237,설정!$A$4:$B$12,2,0)-1),진행중!W31)))</f>
        <v/>
      </c>
      <c r="F237">
        <f>IF($A237="","",COUNTIF($A$2:$A237,$A237))</f>
        <v/>
      </c>
      <c r="G237">
        <f>IF($A237="","",$A237&amp;"|"&amp;$F237)</f>
        <v/>
      </c>
    </row>
    <row r="238">
      <c r="A238">
        <f>IF(AND(진행중!D31&lt;&gt;"",진행중!V31&lt;&gt;"",진행중!N31&lt;&gt;"",진행중!N31&lt;&gt;"X",진행중!AA31&lt;&gt;"완료"),진행중!N31,"")</f>
        <v/>
      </c>
      <c r="B238">
        <f>IF($A238="","",진행중!D31)</f>
        <v/>
      </c>
      <c r="C238" t="inlineStr">
        <is>
          <t>내역</t>
        </is>
      </c>
      <c r="D238" s="22">
        <f>IF($A238="","",진행중!V31)</f>
        <v/>
      </c>
      <c r="E238" s="22">
        <f>IF($A238="","",IF(VLOOKUP($C238,설정!$A$4:$B$12,2,0)=0,진행중!W31,MIN(WORKDAY(진행중!V31,VLOOKUP($C238,설정!$A$4:$B$12,2,0)-1),진행중!W31)))</f>
        <v/>
      </c>
      <c r="F238">
        <f>IF($A238="","",COUNTIF($A$2:$A238,$A238))</f>
        <v/>
      </c>
      <c r="G238">
        <f>IF($A238="","",$A238&amp;"|"&amp;$F238)</f>
        <v/>
      </c>
    </row>
    <row r="239">
      <c r="A239">
        <f>IF(AND(진행중!D31&lt;&gt;"",진행중!V31&lt;&gt;"",진행중!O31&lt;&gt;"",진행중!O31&lt;&gt;"X",진행중!AA31&lt;&gt;"완료"),진행중!O31,"")</f>
        <v/>
      </c>
      <c r="B239">
        <f>IF($A239="","",진행중!D31)</f>
        <v/>
      </c>
      <c r="C239" t="inlineStr">
        <is>
          <t>가설</t>
        </is>
      </c>
      <c r="D239" s="22">
        <f>IF($A239="","",진행중!V31)</f>
        <v/>
      </c>
      <c r="E239" s="22">
        <f>IF($A239="","",IF(VLOOKUP($C239,설정!$A$4:$B$12,2,0)=0,진행중!W31,MIN(WORKDAY(진행중!V31,VLOOKUP($C239,설정!$A$4:$B$12,2,0)-1),진행중!W31)))</f>
        <v/>
      </c>
      <c r="F239">
        <f>IF($A239="","",COUNTIF($A$2:$A239,$A239))</f>
        <v/>
      </c>
      <c r="G239">
        <f>IF($A239="","",$A239&amp;"|"&amp;$F239)</f>
        <v/>
      </c>
    </row>
    <row r="240">
      <c r="A240">
        <f>IF(AND(진행중!D31&lt;&gt;"",진행중!V31&lt;&gt;"",진행중!P31&lt;&gt;"",진행중!P31&lt;&gt;"X",진행중!AA31&lt;&gt;"완료"),진행중!P31,"")</f>
        <v/>
      </c>
      <c r="B240">
        <f>IF($A240="","",진행중!D31)</f>
        <v/>
      </c>
      <c r="C240" t="inlineStr">
        <is>
          <t>세대</t>
        </is>
      </c>
      <c r="D240" s="22">
        <f>IF($A240="","",진행중!V31)</f>
        <v/>
      </c>
      <c r="E240" s="22">
        <f>IF($A240="","",IF(VLOOKUP($C240,설정!$A$4:$B$12,2,0)=0,진행중!W31,MIN(WORKDAY(진행중!V31,VLOOKUP($C240,설정!$A$4:$B$12,2,0)-1),진행중!W31)))</f>
        <v/>
      </c>
      <c r="F240">
        <f>IF($A240="","",COUNTIF($A$2:$A240,$A240))</f>
        <v/>
      </c>
      <c r="G240">
        <f>IF($A240="","",$A240&amp;"|"&amp;$F240)</f>
        <v/>
      </c>
    </row>
    <row r="241">
      <c r="A241">
        <f>IF(AND(진행중!D31&lt;&gt;"",진행중!V31&lt;&gt;"",진행중!Q31&lt;&gt;"",진행중!Q31&lt;&gt;"X",진행중!AA31&lt;&gt;"완료"),진행중!Q31,"")</f>
        <v/>
      </c>
      <c r="B241">
        <f>IF($A241="","",진행중!D31)</f>
        <v/>
      </c>
      <c r="C241" t="inlineStr">
        <is>
          <t>내부</t>
        </is>
      </c>
      <c r="D241" s="22">
        <f>IF($A241="","",진행중!V31)</f>
        <v/>
      </c>
      <c r="E241" s="22">
        <f>IF($A241="","",IF(VLOOKUP($C241,설정!$A$4:$B$12,2,0)=0,진행중!W31,MIN(WORKDAY(진행중!V31,VLOOKUP($C241,설정!$A$4:$B$12,2,0)-1),진행중!W31)))</f>
        <v/>
      </c>
      <c r="F241">
        <f>IF($A241="","",COUNTIF($A$2:$A241,$A241))</f>
        <v/>
      </c>
      <c r="G241">
        <f>IF($A241="","",$A241&amp;"|"&amp;$F241)</f>
        <v/>
      </c>
    </row>
    <row r="242">
      <c r="A242">
        <f>IF(AND(진행중!D31&lt;&gt;"",진행중!V31&lt;&gt;"",진행중!R31&lt;&gt;"",진행중!R31&lt;&gt;"X",진행중!AA31&lt;&gt;"완료"),진행중!R31,"")</f>
        <v/>
      </c>
      <c r="B242">
        <f>IF($A242="","",진행중!D31)</f>
        <v/>
      </c>
      <c r="C242" t="inlineStr">
        <is>
          <t>외부</t>
        </is>
      </c>
      <c r="D242" s="22">
        <f>IF($A242="","",진행중!V31)</f>
        <v/>
      </c>
      <c r="E242" s="22">
        <f>IF($A242="","",IF(VLOOKUP($C242,설정!$A$4:$B$12,2,0)=0,진행중!W31,MIN(WORKDAY(진행중!V31,VLOOKUP($C242,설정!$A$4:$B$12,2,0)-1),진행중!W31)))</f>
        <v/>
      </c>
      <c r="F242">
        <f>IF($A242="","",COUNTIF($A$2:$A242,$A242))</f>
        <v/>
      </c>
      <c r="G242">
        <f>IF($A242="","",$A242&amp;"|"&amp;$F242)</f>
        <v/>
      </c>
    </row>
    <row r="243">
      <c r="A243">
        <f>IF(AND(진행중!D31&lt;&gt;"",진행중!V31&lt;&gt;"",진행중!S31&lt;&gt;"",진행중!S31&lt;&gt;"X",진행중!AA31&lt;&gt;"완료"),진행중!S31,"")</f>
        <v/>
      </c>
      <c r="B243">
        <f>IF($A243="","",진행중!D31)</f>
        <v/>
      </c>
      <c r="C243" t="inlineStr">
        <is>
          <t>창호</t>
        </is>
      </c>
      <c r="D243" s="22">
        <f>IF($A243="","",진행중!V31)</f>
        <v/>
      </c>
      <c r="E243" s="22">
        <f>IF($A243="","",IF(VLOOKUP($C243,설정!$A$4:$B$12,2,0)=0,진행중!W31,MIN(WORKDAY(진행중!V31,VLOOKUP($C243,설정!$A$4:$B$12,2,0)-1),진행중!W31)))</f>
        <v/>
      </c>
      <c r="F243">
        <f>IF($A243="","",COUNTIF($A$2:$A243,$A243))</f>
        <v/>
      </c>
      <c r="G243">
        <f>IF($A243="","",$A243&amp;"|"&amp;$F243)</f>
        <v/>
      </c>
    </row>
    <row r="244">
      <c r="A244">
        <f>IF(AND(진행중!D31&lt;&gt;"",진행중!V31&lt;&gt;"",진행중!T31&lt;&gt;"",진행중!T31&lt;&gt;"X",진행중!AA31&lt;&gt;"완료"),진행중!T31,"")</f>
        <v/>
      </c>
      <c r="B244">
        <f>IF($A244="","",진행중!D31)</f>
        <v/>
      </c>
      <c r="C244" t="inlineStr">
        <is>
          <t>조적</t>
        </is>
      </c>
      <c r="D244" s="22">
        <f>IF($A244="","",진행중!V31)</f>
        <v/>
      </c>
      <c r="E244" s="22">
        <f>IF($A244="","",IF(VLOOKUP($C244,설정!$A$4:$B$12,2,0)=0,진행중!W31,MIN(WORKDAY(진행중!V31,VLOOKUP($C244,설정!$A$4:$B$12,2,0)-1),진행중!W31)))</f>
        <v/>
      </c>
      <c r="F244">
        <f>IF($A244="","",COUNTIF($A$2:$A244,$A244))</f>
        <v/>
      </c>
      <c r="G244">
        <f>IF($A244="","",$A244&amp;"|"&amp;$F244)</f>
        <v/>
      </c>
    </row>
    <row r="245">
      <c r="A245">
        <f>IF(AND(진행중!D32&lt;&gt;"",진행중!V32&lt;&gt;"",진행중!L32&lt;&gt;"",진행중!L32&lt;&gt;"X",진행중!AA32&lt;&gt;"완료"),진행중!L32,"")</f>
        <v/>
      </c>
      <c r="B245">
        <f>IF($A245="","",진행중!D32)</f>
        <v/>
      </c>
      <c r="C245" t="inlineStr">
        <is>
          <t>PM</t>
        </is>
      </c>
      <c r="D245" s="22">
        <f>IF($A245="","",진행중!V32)</f>
        <v/>
      </c>
      <c r="E245" s="22">
        <f>IF($A245="","",IF(VLOOKUP($C245,설정!$A$4:$B$12,2,0)=0,진행중!W32,MIN(WORKDAY(진행중!V32,VLOOKUP($C245,설정!$A$4:$B$12,2,0)-1),진행중!W32)))</f>
        <v/>
      </c>
      <c r="F245">
        <f>IF($A245="","",COUNTIF($A$2:$A245,$A245))</f>
        <v/>
      </c>
      <c r="G245">
        <f>IF($A245="","",$A245&amp;"|"&amp;$F245)</f>
        <v/>
      </c>
    </row>
    <row r="246">
      <c r="A246">
        <f>IF(AND(진행중!D32&lt;&gt;"",진행중!V32&lt;&gt;"",진행중!M32&lt;&gt;"",진행중!M32&lt;&gt;"X",진행중!AA32&lt;&gt;"완료"),진행중!M32,"")</f>
        <v/>
      </c>
      <c r="B246">
        <f>IF($A246="","",진행중!D32)</f>
        <v/>
      </c>
      <c r="C246" t="inlineStr">
        <is>
          <t>검토</t>
        </is>
      </c>
      <c r="D246" s="22">
        <f>IF($A246="","",진행중!V32)</f>
        <v/>
      </c>
      <c r="E246" s="22">
        <f>IF($A246="","",IF(VLOOKUP($C246,설정!$A$4:$B$12,2,0)=0,진행중!W32,MIN(WORKDAY(진행중!V32,VLOOKUP($C246,설정!$A$4:$B$12,2,0)-1),진행중!W32)))</f>
        <v/>
      </c>
      <c r="F246">
        <f>IF($A246="","",COUNTIF($A$2:$A246,$A246))</f>
        <v/>
      </c>
      <c r="G246">
        <f>IF($A246="","",$A246&amp;"|"&amp;$F246)</f>
        <v/>
      </c>
    </row>
    <row r="247">
      <c r="A247">
        <f>IF(AND(진행중!D32&lt;&gt;"",진행중!V32&lt;&gt;"",진행중!N32&lt;&gt;"",진행중!N32&lt;&gt;"X",진행중!AA32&lt;&gt;"완료"),진행중!N32,"")</f>
        <v/>
      </c>
      <c r="B247">
        <f>IF($A247="","",진행중!D32)</f>
        <v/>
      </c>
      <c r="C247" t="inlineStr">
        <is>
          <t>내역</t>
        </is>
      </c>
      <c r="D247" s="22">
        <f>IF($A247="","",진행중!V32)</f>
        <v/>
      </c>
      <c r="E247" s="22">
        <f>IF($A247="","",IF(VLOOKUP($C247,설정!$A$4:$B$12,2,0)=0,진행중!W32,MIN(WORKDAY(진행중!V32,VLOOKUP($C247,설정!$A$4:$B$12,2,0)-1),진행중!W32)))</f>
        <v/>
      </c>
      <c r="F247">
        <f>IF($A247="","",COUNTIF($A$2:$A247,$A247))</f>
        <v/>
      </c>
      <c r="G247">
        <f>IF($A247="","",$A247&amp;"|"&amp;$F247)</f>
        <v/>
      </c>
    </row>
    <row r="248">
      <c r="A248">
        <f>IF(AND(진행중!D32&lt;&gt;"",진행중!V32&lt;&gt;"",진행중!O32&lt;&gt;"",진행중!O32&lt;&gt;"X",진행중!AA32&lt;&gt;"완료"),진행중!O32,"")</f>
        <v/>
      </c>
      <c r="B248">
        <f>IF($A248="","",진행중!D32)</f>
        <v/>
      </c>
      <c r="C248" t="inlineStr">
        <is>
          <t>가설</t>
        </is>
      </c>
      <c r="D248" s="22">
        <f>IF($A248="","",진행중!V32)</f>
        <v/>
      </c>
      <c r="E248" s="22">
        <f>IF($A248="","",IF(VLOOKUP($C248,설정!$A$4:$B$12,2,0)=0,진행중!W32,MIN(WORKDAY(진행중!V32,VLOOKUP($C248,설정!$A$4:$B$12,2,0)-1),진행중!W32)))</f>
        <v/>
      </c>
      <c r="F248">
        <f>IF($A248="","",COUNTIF($A$2:$A248,$A248))</f>
        <v/>
      </c>
      <c r="G248">
        <f>IF($A248="","",$A248&amp;"|"&amp;$F248)</f>
        <v/>
      </c>
    </row>
    <row r="249">
      <c r="A249">
        <f>IF(AND(진행중!D32&lt;&gt;"",진행중!V32&lt;&gt;"",진행중!P32&lt;&gt;"",진행중!P32&lt;&gt;"X",진행중!AA32&lt;&gt;"완료"),진행중!P32,"")</f>
        <v/>
      </c>
      <c r="B249">
        <f>IF($A249="","",진행중!D32)</f>
        <v/>
      </c>
      <c r="C249" t="inlineStr">
        <is>
          <t>세대</t>
        </is>
      </c>
      <c r="D249" s="22">
        <f>IF($A249="","",진행중!V32)</f>
        <v/>
      </c>
      <c r="E249" s="22">
        <f>IF($A249="","",IF(VLOOKUP($C249,설정!$A$4:$B$12,2,0)=0,진행중!W32,MIN(WORKDAY(진행중!V32,VLOOKUP($C249,설정!$A$4:$B$12,2,0)-1),진행중!W32)))</f>
        <v/>
      </c>
      <c r="F249">
        <f>IF($A249="","",COUNTIF($A$2:$A249,$A249))</f>
        <v/>
      </c>
      <c r="G249">
        <f>IF($A249="","",$A249&amp;"|"&amp;$F249)</f>
        <v/>
      </c>
    </row>
    <row r="250">
      <c r="A250">
        <f>IF(AND(진행중!D32&lt;&gt;"",진행중!V32&lt;&gt;"",진행중!Q32&lt;&gt;"",진행중!Q32&lt;&gt;"X",진행중!AA32&lt;&gt;"완료"),진행중!Q32,"")</f>
        <v/>
      </c>
      <c r="B250">
        <f>IF($A250="","",진행중!D32)</f>
        <v/>
      </c>
      <c r="C250" t="inlineStr">
        <is>
          <t>내부</t>
        </is>
      </c>
      <c r="D250" s="22">
        <f>IF($A250="","",진행중!V32)</f>
        <v/>
      </c>
      <c r="E250" s="22">
        <f>IF($A250="","",IF(VLOOKUP($C250,설정!$A$4:$B$12,2,0)=0,진행중!W32,MIN(WORKDAY(진행중!V32,VLOOKUP($C250,설정!$A$4:$B$12,2,0)-1),진행중!W32)))</f>
        <v/>
      </c>
      <c r="F250">
        <f>IF($A250="","",COUNTIF($A$2:$A250,$A250))</f>
        <v/>
      </c>
      <c r="G250">
        <f>IF($A250="","",$A250&amp;"|"&amp;$F250)</f>
        <v/>
      </c>
    </row>
    <row r="251">
      <c r="A251">
        <f>IF(AND(진행중!D32&lt;&gt;"",진행중!V32&lt;&gt;"",진행중!R32&lt;&gt;"",진행중!R32&lt;&gt;"X",진행중!AA32&lt;&gt;"완료"),진행중!R32,"")</f>
        <v/>
      </c>
      <c r="B251">
        <f>IF($A251="","",진행중!D32)</f>
        <v/>
      </c>
      <c r="C251" t="inlineStr">
        <is>
          <t>외부</t>
        </is>
      </c>
      <c r="D251" s="22">
        <f>IF($A251="","",진행중!V32)</f>
        <v/>
      </c>
      <c r="E251" s="22">
        <f>IF($A251="","",IF(VLOOKUP($C251,설정!$A$4:$B$12,2,0)=0,진행중!W32,MIN(WORKDAY(진행중!V32,VLOOKUP($C251,설정!$A$4:$B$12,2,0)-1),진행중!W32)))</f>
        <v/>
      </c>
      <c r="F251">
        <f>IF($A251="","",COUNTIF($A$2:$A251,$A251))</f>
        <v/>
      </c>
      <c r="G251">
        <f>IF($A251="","",$A251&amp;"|"&amp;$F251)</f>
        <v/>
      </c>
    </row>
    <row r="252">
      <c r="A252">
        <f>IF(AND(진행중!D32&lt;&gt;"",진행중!V32&lt;&gt;"",진행중!S32&lt;&gt;"",진행중!S32&lt;&gt;"X",진행중!AA32&lt;&gt;"완료"),진행중!S32,"")</f>
        <v/>
      </c>
      <c r="B252">
        <f>IF($A252="","",진행중!D32)</f>
        <v/>
      </c>
      <c r="C252" t="inlineStr">
        <is>
          <t>창호</t>
        </is>
      </c>
      <c r="D252" s="22">
        <f>IF($A252="","",진행중!V32)</f>
        <v/>
      </c>
      <c r="E252" s="22">
        <f>IF($A252="","",IF(VLOOKUP($C252,설정!$A$4:$B$12,2,0)=0,진행중!W32,MIN(WORKDAY(진행중!V32,VLOOKUP($C252,설정!$A$4:$B$12,2,0)-1),진행중!W32)))</f>
        <v/>
      </c>
      <c r="F252">
        <f>IF($A252="","",COUNTIF($A$2:$A252,$A252))</f>
        <v/>
      </c>
      <c r="G252">
        <f>IF($A252="","",$A252&amp;"|"&amp;$F252)</f>
        <v/>
      </c>
    </row>
    <row r="253">
      <c r="A253">
        <f>IF(AND(진행중!D32&lt;&gt;"",진행중!V32&lt;&gt;"",진행중!T32&lt;&gt;"",진행중!T32&lt;&gt;"X",진행중!AA32&lt;&gt;"완료"),진행중!T32,"")</f>
        <v/>
      </c>
      <c r="B253">
        <f>IF($A253="","",진행중!D32)</f>
        <v/>
      </c>
      <c r="C253" t="inlineStr">
        <is>
          <t>조적</t>
        </is>
      </c>
      <c r="D253" s="22">
        <f>IF($A253="","",진행중!V32)</f>
        <v/>
      </c>
      <c r="E253" s="22">
        <f>IF($A253="","",IF(VLOOKUP($C253,설정!$A$4:$B$12,2,0)=0,진행중!W32,MIN(WORKDAY(진행중!V32,VLOOKUP($C253,설정!$A$4:$B$12,2,0)-1),진행중!W32)))</f>
        <v/>
      </c>
      <c r="F253">
        <f>IF($A253="","",COUNTIF($A$2:$A253,$A253))</f>
        <v/>
      </c>
      <c r="G253">
        <f>IF($A253="","",$A253&amp;"|"&amp;$F253)</f>
        <v/>
      </c>
    </row>
    <row r="254">
      <c r="A254">
        <f>IF(AND(진행중!D33&lt;&gt;"",진행중!V33&lt;&gt;"",진행중!L33&lt;&gt;"",진행중!L33&lt;&gt;"X",진행중!AA33&lt;&gt;"완료"),진행중!L33,"")</f>
        <v/>
      </c>
      <c r="B254">
        <f>IF($A254="","",진행중!D33)</f>
        <v/>
      </c>
      <c r="C254" t="inlineStr">
        <is>
          <t>PM</t>
        </is>
      </c>
      <c r="D254" s="22">
        <f>IF($A254="","",진행중!V33)</f>
        <v/>
      </c>
      <c r="E254" s="22">
        <f>IF($A254="","",IF(VLOOKUP($C254,설정!$A$4:$B$12,2,0)=0,진행중!W33,MIN(WORKDAY(진행중!V33,VLOOKUP($C254,설정!$A$4:$B$12,2,0)-1),진행중!W33)))</f>
        <v/>
      </c>
      <c r="F254">
        <f>IF($A254="","",COUNTIF($A$2:$A254,$A254))</f>
        <v/>
      </c>
      <c r="G254">
        <f>IF($A254="","",$A254&amp;"|"&amp;$F254)</f>
        <v/>
      </c>
    </row>
    <row r="255">
      <c r="A255">
        <f>IF(AND(진행중!D33&lt;&gt;"",진행중!V33&lt;&gt;"",진행중!M33&lt;&gt;"",진행중!M33&lt;&gt;"X",진행중!AA33&lt;&gt;"완료"),진행중!M33,"")</f>
        <v/>
      </c>
      <c r="B255">
        <f>IF($A255="","",진행중!D33)</f>
        <v/>
      </c>
      <c r="C255" t="inlineStr">
        <is>
          <t>검토</t>
        </is>
      </c>
      <c r="D255" s="22">
        <f>IF($A255="","",진행중!V33)</f>
        <v/>
      </c>
      <c r="E255" s="22">
        <f>IF($A255="","",IF(VLOOKUP($C255,설정!$A$4:$B$12,2,0)=0,진행중!W33,MIN(WORKDAY(진행중!V33,VLOOKUP($C255,설정!$A$4:$B$12,2,0)-1),진행중!W33)))</f>
        <v/>
      </c>
      <c r="F255">
        <f>IF($A255="","",COUNTIF($A$2:$A255,$A255))</f>
        <v/>
      </c>
      <c r="G255">
        <f>IF($A255="","",$A255&amp;"|"&amp;$F255)</f>
        <v/>
      </c>
    </row>
    <row r="256">
      <c r="A256">
        <f>IF(AND(진행중!D33&lt;&gt;"",진행중!V33&lt;&gt;"",진행중!N33&lt;&gt;"",진행중!N33&lt;&gt;"X",진행중!AA33&lt;&gt;"완료"),진행중!N33,"")</f>
        <v/>
      </c>
      <c r="B256">
        <f>IF($A256="","",진행중!D33)</f>
        <v/>
      </c>
      <c r="C256" t="inlineStr">
        <is>
          <t>내역</t>
        </is>
      </c>
      <c r="D256" s="22">
        <f>IF($A256="","",진행중!V33)</f>
        <v/>
      </c>
      <c r="E256" s="22">
        <f>IF($A256="","",IF(VLOOKUP($C256,설정!$A$4:$B$12,2,0)=0,진행중!W33,MIN(WORKDAY(진행중!V33,VLOOKUP($C256,설정!$A$4:$B$12,2,0)-1),진행중!W33)))</f>
        <v/>
      </c>
      <c r="F256">
        <f>IF($A256="","",COUNTIF($A$2:$A256,$A256))</f>
        <v/>
      </c>
      <c r="G256">
        <f>IF($A256="","",$A256&amp;"|"&amp;$F256)</f>
        <v/>
      </c>
    </row>
    <row r="257">
      <c r="A257">
        <f>IF(AND(진행중!D33&lt;&gt;"",진행중!V33&lt;&gt;"",진행중!O33&lt;&gt;"",진행중!O33&lt;&gt;"X",진행중!AA33&lt;&gt;"완료"),진행중!O33,"")</f>
        <v/>
      </c>
      <c r="B257">
        <f>IF($A257="","",진행중!D33)</f>
        <v/>
      </c>
      <c r="C257" t="inlineStr">
        <is>
          <t>가설</t>
        </is>
      </c>
      <c r="D257" s="22">
        <f>IF($A257="","",진행중!V33)</f>
        <v/>
      </c>
      <c r="E257" s="22">
        <f>IF($A257="","",IF(VLOOKUP($C257,설정!$A$4:$B$12,2,0)=0,진행중!W33,MIN(WORKDAY(진행중!V33,VLOOKUP($C257,설정!$A$4:$B$12,2,0)-1),진행중!W33)))</f>
        <v/>
      </c>
      <c r="F257">
        <f>IF($A257="","",COUNTIF($A$2:$A257,$A257))</f>
        <v/>
      </c>
      <c r="G257">
        <f>IF($A257="","",$A257&amp;"|"&amp;$F257)</f>
        <v/>
      </c>
    </row>
    <row r="258">
      <c r="A258">
        <f>IF(AND(진행중!D33&lt;&gt;"",진행중!V33&lt;&gt;"",진행중!P33&lt;&gt;"",진행중!P33&lt;&gt;"X",진행중!AA33&lt;&gt;"완료"),진행중!P33,"")</f>
        <v/>
      </c>
      <c r="B258">
        <f>IF($A258="","",진행중!D33)</f>
        <v/>
      </c>
      <c r="C258" t="inlineStr">
        <is>
          <t>세대</t>
        </is>
      </c>
      <c r="D258" s="22">
        <f>IF($A258="","",진행중!V33)</f>
        <v/>
      </c>
      <c r="E258" s="22">
        <f>IF($A258="","",IF(VLOOKUP($C258,설정!$A$4:$B$12,2,0)=0,진행중!W33,MIN(WORKDAY(진행중!V33,VLOOKUP($C258,설정!$A$4:$B$12,2,0)-1),진행중!W33)))</f>
        <v/>
      </c>
      <c r="F258">
        <f>IF($A258="","",COUNTIF($A$2:$A258,$A258))</f>
        <v/>
      </c>
      <c r="G258">
        <f>IF($A258="","",$A258&amp;"|"&amp;$F258)</f>
        <v/>
      </c>
    </row>
    <row r="259">
      <c r="A259">
        <f>IF(AND(진행중!D33&lt;&gt;"",진행중!V33&lt;&gt;"",진행중!Q33&lt;&gt;"",진행중!Q33&lt;&gt;"X",진행중!AA33&lt;&gt;"완료"),진행중!Q33,"")</f>
        <v/>
      </c>
      <c r="B259">
        <f>IF($A259="","",진행중!D33)</f>
        <v/>
      </c>
      <c r="C259" t="inlineStr">
        <is>
          <t>내부</t>
        </is>
      </c>
      <c r="D259" s="22">
        <f>IF($A259="","",진행중!V33)</f>
        <v/>
      </c>
      <c r="E259" s="22">
        <f>IF($A259="","",IF(VLOOKUP($C259,설정!$A$4:$B$12,2,0)=0,진행중!W33,MIN(WORKDAY(진행중!V33,VLOOKUP($C259,설정!$A$4:$B$12,2,0)-1),진행중!W33)))</f>
        <v/>
      </c>
      <c r="F259">
        <f>IF($A259="","",COUNTIF($A$2:$A259,$A259))</f>
        <v/>
      </c>
      <c r="G259">
        <f>IF($A259="","",$A259&amp;"|"&amp;$F259)</f>
        <v/>
      </c>
    </row>
    <row r="260">
      <c r="A260">
        <f>IF(AND(진행중!D33&lt;&gt;"",진행중!V33&lt;&gt;"",진행중!R33&lt;&gt;"",진행중!R33&lt;&gt;"X",진행중!AA33&lt;&gt;"완료"),진행중!R33,"")</f>
        <v/>
      </c>
      <c r="B260">
        <f>IF($A260="","",진행중!D33)</f>
        <v/>
      </c>
      <c r="C260" t="inlineStr">
        <is>
          <t>외부</t>
        </is>
      </c>
      <c r="D260" s="22">
        <f>IF($A260="","",진행중!V33)</f>
        <v/>
      </c>
      <c r="E260" s="22">
        <f>IF($A260="","",IF(VLOOKUP($C260,설정!$A$4:$B$12,2,0)=0,진행중!W33,MIN(WORKDAY(진행중!V33,VLOOKUP($C260,설정!$A$4:$B$12,2,0)-1),진행중!W33)))</f>
        <v/>
      </c>
      <c r="F260">
        <f>IF($A260="","",COUNTIF($A$2:$A260,$A260))</f>
        <v/>
      </c>
      <c r="G260">
        <f>IF($A260="","",$A260&amp;"|"&amp;$F260)</f>
        <v/>
      </c>
    </row>
    <row r="261">
      <c r="A261">
        <f>IF(AND(진행중!D33&lt;&gt;"",진행중!V33&lt;&gt;"",진행중!S33&lt;&gt;"",진행중!S33&lt;&gt;"X",진행중!AA33&lt;&gt;"완료"),진행중!S33,"")</f>
        <v/>
      </c>
      <c r="B261">
        <f>IF($A261="","",진행중!D33)</f>
        <v/>
      </c>
      <c r="C261" t="inlineStr">
        <is>
          <t>창호</t>
        </is>
      </c>
      <c r="D261" s="22">
        <f>IF($A261="","",진행중!V33)</f>
        <v/>
      </c>
      <c r="E261" s="22">
        <f>IF($A261="","",IF(VLOOKUP($C261,설정!$A$4:$B$12,2,0)=0,진행중!W33,MIN(WORKDAY(진행중!V33,VLOOKUP($C261,설정!$A$4:$B$12,2,0)-1),진행중!W33)))</f>
        <v/>
      </c>
      <c r="F261">
        <f>IF($A261="","",COUNTIF($A$2:$A261,$A261))</f>
        <v/>
      </c>
      <c r="G261">
        <f>IF($A261="","",$A261&amp;"|"&amp;$F261)</f>
        <v/>
      </c>
    </row>
    <row r="262">
      <c r="A262">
        <f>IF(AND(진행중!D33&lt;&gt;"",진행중!V33&lt;&gt;"",진행중!T33&lt;&gt;"",진행중!T33&lt;&gt;"X",진행중!AA33&lt;&gt;"완료"),진행중!T33,"")</f>
        <v/>
      </c>
      <c r="B262">
        <f>IF($A262="","",진행중!D33)</f>
        <v/>
      </c>
      <c r="C262" t="inlineStr">
        <is>
          <t>조적</t>
        </is>
      </c>
      <c r="D262" s="22">
        <f>IF($A262="","",진행중!V33)</f>
        <v/>
      </c>
      <c r="E262" s="22">
        <f>IF($A262="","",IF(VLOOKUP($C262,설정!$A$4:$B$12,2,0)=0,진행중!W33,MIN(WORKDAY(진행중!V33,VLOOKUP($C262,설정!$A$4:$B$12,2,0)-1),진행중!W33)))</f>
        <v/>
      </c>
      <c r="F262">
        <f>IF($A262="","",COUNTIF($A$2:$A262,$A262))</f>
        <v/>
      </c>
      <c r="G262">
        <f>IF($A262="","",$A262&amp;"|"&amp;$F262)</f>
        <v/>
      </c>
    </row>
    <row r="263">
      <c r="A263">
        <f>IF(AND(진행중!D34&lt;&gt;"",진행중!V34&lt;&gt;"",진행중!L34&lt;&gt;"",진행중!L34&lt;&gt;"X",진행중!AA34&lt;&gt;"완료"),진행중!L34,"")</f>
        <v/>
      </c>
      <c r="B263">
        <f>IF($A263="","",진행중!D34)</f>
        <v/>
      </c>
      <c r="C263" t="inlineStr">
        <is>
          <t>PM</t>
        </is>
      </c>
      <c r="D263" s="22">
        <f>IF($A263="","",진행중!V34)</f>
        <v/>
      </c>
      <c r="E263" s="22">
        <f>IF($A263="","",IF(VLOOKUP($C263,설정!$A$4:$B$12,2,0)=0,진행중!W34,MIN(WORKDAY(진행중!V34,VLOOKUP($C263,설정!$A$4:$B$12,2,0)-1),진행중!W34)))</f>
        <v/>
      </c>
      <c r="F263">
        <f>IF($A263="","",COUNTIF($A$2:$A263,$A263))</f>
        <v/>
      </c>
      <c r="G263">
        <f>IF($A263="","",$A263&amp;"|"&amp;$F263)</f>
        <v/>
      </c>
    </row>
    <row r="264">
      <c r="A264">
        <f>IF(AND(진행중!D34&lt;&gt;"",진행중!V34&lt;&gt;"",진행중!M34&lt;&gt;"",진행중!M34&lt;&gt;"X",진행중!AA34&lt;&gt;"완료"),진행중!M34,"")</f>
        <v/>
      </c>
      <c r="B264">
        <f>IF($A264="","",진행중!D34)</f>
        <v/>
      </c>
      <c r="C264" t="inlineStr">
        <is>
          <t>검토</t>
        </is>
      </c>
      <c r="D264" s="22">
        <f>IF($A264="","",진행중!V34)</f>
        <v/>
      </c>
      <c r="E264" s="22">
        <f>IF($A264="","",IF(VLOOKUP($C264,설정!$A$4:$B$12,2,0)=0,진행중!W34,MIN(WORKDAY(진행중!V34,VLOOKUP($C264,설정!$A$4:$B$12,2,0)-1),진행중!W34)))</f>
        <v/>
      </c>
      <c r="F264">
        <f>IF($A264="","",COUNTIF($A$2:$A264,$A264))</f>
        <v/>
      </c>
      <c r="G264">
        <f>IF($A264="","",$A264&amp;"|"&amp;$F264)</f>
        <v/>
      </c>
    </row>
    <row r="265">
      <c r="A265">
        <f>IF(AND(진행중!D34&lt;&gt;"",진행중!V34&lt;&gt;"",진행중!N34&lt;&gt;"",진행중!N34&lt;&gt;"X",진행중!AA34&lt;&gt;"완료"),진행중!N34,"")</f>
        <v/>
      </c>
      <c r="B265">
        <f>IF($A265="","",진행중!D34)</f>
        <v/>
      </c>
      <c r="C265" t="inlineStr">
        <is>
          <t>내역</t>
        </is>
      </c>
      <c r="D265" s="22">
        <f>IF($A265="","",진행중!V34)</f>
        <v/>
      </c>
      <c r="E265" s="22">
        <f>IF($A265="","",IF(VLOOKUP($C265,설정!$A$4:$B$12,2,0)=0,진행중!W34,MIN(WORKDAY(진행중!V34,VLOOKUP($C265,설정!$A$4:$B$12,2,0)-1),진행중!W34)))</f>
        <v/>
      </c>
      <c r="F265">
        <f>IF($A265="","",COUNTIF($A$2:$A265,$A265))</f>
        <v/>
      </c>
      <c r="G265">
        <f>IF($A265="","",$A265&amp;"|"&amp;$F265)</f>
        <v/>
      </c>
    </row>
    <row r="266">
      <c r="A266">
        <f>IF(AND(진행중!D34&lt;&gt;"",진행중!V34&lt;&gt;"",진행중!O34&lt;&gt;"",진행중!O34&lt;&gt;"X",진행중!AA34&lt;&gt;"완료"),진행중!O34,"")</f>
        <v/>
      </c>
      <c r="B266">
        <f>IF($A266="","",진행중!D34)</f>
        <v/>
      </c>
      <c r="C266" t="inlineStr">
        <is>
          <t>가설</t>
        </is>
      </c>
      <c r="D266" s="22">
        <f>IF($A266="","",진행중!V34)</f>
        <v/>
      </c>
      <c r="E266" s="22">
        <f>IF($A266="","",IF(VLOOKUP($C266,설정!$A$4:$B$12,2,0)=0,진행중!W34,MIN(WORKDAY(진행중!V34,VLOOKUP($C266,설정!$A$4:$B$12,2,0)-1),진행중!W34)))</f>
        <v/>
      </c>
      <c r="F266">
        <f>IF($A266="","",COUNTIF($A$2:$A266,$A266))</f>
        <v/>
      </c>
      <c r="G266">
        <f>IF($A266="","",$A266&amp;"|"&amp;$F266)</f>
        <v/>
      </c>
    </row>
    <row r="267">
      <c r="A267">
        <f>IF(AND(진행중!D34&lt;&gt;"",진행중!V34&lt;&gt;"",진행중!P34&lt;&gt;"",진행중!P34&lt;&gt;"X",진행중!AA34&lt;&gt;"완료"),진행중!P34,"")</f>
        <v/>
      </c>
      <c r="B267">
        <f>IF($A267="","",진행중!D34)</f>
        <v/>
      </c>
      <c r="C267" t="inlineStr">
        <is>
          <t>세대</t>
        </is>
      </c>
      <c r="D267" s="22">
        <f>IF($A267="","",진행중!V34)</f>
        <v/>
      </c>
      <c r="E267" s="22">
        <f>IF($A267="","",IF(VLOOKUP($C267,설정!$A$4:$B$12,2,0)=0,진행중!W34,MIN(WORKDAY(진행중!V34,VLOOKUP($C267,설정!$A$4:$B$12,2,0)-1),진행중!W34)))</f>
        <v/>
      </c>
      <c r="F267">
        <f>IF($A267="","",COUNTIF($A$2:$A267,$A267))</f>
        <v/>
      </c>
      <c r="G267">
        <f>IF($A267="","",$A267&amp;"|"&amp;$F267)</f>
        <v/>
      </c>
    </row>
    <row r="268">
      <c r="A268">
        <f>IF(AND(진행중!D34&lt;&gt;"",진행중!V34&lt;&gt;"",진행중!Q34&lt;&gt;"",진행중!Q34&lt;&gt;"X",진행중!AA34&lt;&gt;"완료"),진행중!Q34,"")</f>
        <v/>
      </c>
      <c r="B268">
        <f>IF($A268="","",진행중!D34)</f>
        <v/>
      </c>
      <c r="C268" t="inlineStr">
        <is>
          <t>내부</t>
        </is>
      </c>
      <c r="D268" s="22">
        <f>IF($A268="","",진행중!V34)</f>
        <v/>
      </c>
      <c r="E268" s="22">
        <f>IF($A268="","",IF(VLOOKUP($C268,설정!$A$4:$B$12,2,0)=0,진행중!W34,MIN(WORKDAY(진행중!V34,VLOOKUP($C268,설정!$A$4:$B$12,2,0)-1),진행중!W34)))</f>
        <v/>
      </c>
      <c r="F268">
        <f>IF($A268="","",COUNTIF($A$2:$A268,$A268))</f>
        <v/>
      </c>
      <c r="G268">
        <f>IF($A268="","",$A268&amp;"|"&amp;$F268)</f>
        <v/>
      </c>
    </row>
    <row r="269">
      <c r="A269">
        <f>IF(AND(진행중!D34&lt;&gt;"",진행중!V34&lt;&gt;"",진행중!R34&lt;&gt;"",진행중!R34&lt;&gt;"X",진행중!AA34&lt;&gt;"완료"),진행중!R34,"")</f>
        <v/>
      </c>
      <c r="B269">
        <f>IF($A269="","",진행중!D34)</f>
        <v/>
      </c>
      <c r="C269" t="inlineStr">
        <is>
          <t>외부</t>
        </is>
      </c>
      <c r="D269" s="22">
        <f>IF($A269="","",진행중!V34)</f>
        <v/>
      </c>
      <c r="E269" s="22">
        <f>IF($A269="","",IF(VLOOKUP($C269,설정!$A$4:$B$12,2,0)=0,진행중!W34,MIN(WORKDAY(진행중!V34,VLOOKUP($C269,설정!$A$4:$B$12,2,0)-1),진행중!W34)))</f>
        <v/>
      </c>
      <c r="F269">
        <f>IF($A269="","",COUNTIF($A$2:$A269,$A269))</f>
        <v/>
      </c>
      <c r="G269">
        <f>IF($A269="","",$A269&amp;"|"&amp;$F269)</f>
        <v/>
      </c>
    </row>
    <row r="270">
      <c r="A270">
        <f>IF(AND(진행중!D34&lt;&gt;"",진행중!V34&lt;&gt;"",진행중!S34&lt;&gt;"",진행중!S34&lt;&gt;"X",진행중!AA34&lt;&gt;"완료"),진행중!S34,"")</f>
        <v/>
      </c>
      <c r="B270">
        <f>IF($A270="","",진행중!D34)</f>
        <v/>
      </c>
      <c r="C270" t="inlineStr">
        <is>
          <t>창호</t>
        </is>
      </c>
      <c r="D270" s="22">
        <f>IF($A270="","",진행중!V34)</f>
        <v/>
      </c>
      <c r="E270" s="22">
        <f>IF($A270="","",IF(VLOOKUP($C270,설정!$A$4:$B$12,2,0)=0,진행중!W34,MIN(WORKDAY(진행중!V34,VLOOKUP($C270,설정!$A$4:$B$12,2,0)-1),진행중!W34)))</f>
        <v/>
      </c>
      <c r="F270">
        <f>IF($A270="","",COUNTIF($A$2:$A270,$A270))</f>
        <v/>
      </c>
      <c r="G270">
        <f>IF($A270="","",$A270&amp;"|"&amp;$F270)</f>
        <v/>
      </c>
    </row>
    <row r="271">
      <c r="A271">
        <f>IF(AND(진행중!D34&lt;&gt;"",진행중!V34&lt;&gt;"",진행중!T34&lt;&gt;"",진행중!T34&lt;&gt;"X",진행중!AA34&lt;&gt;"완료"),진행중!T34,"")</f>
        <v/>
      </c>
      <c r="B271">
        <f>IF($A271="","",진행중!D34)</f>
        <v/>
      </c>
      <c r="C271" t="inlineStr">
        <is>
          <t>조적</t>
        </is>
      </c>
      <c r="D271" s="22">
        <f>IF($A271="","",진행중!V34)</f>
        <v/>
      </c>
      <c r="E271" s="22">
        <f>IF($A271="","",IF(VLOOKUP($C271,설정!$A$4:$B$12,2,0)=0,진행중!W34,MIN(WORKDAY(진행중!V34,VLOOKUP($C271,설정!$A$4:$B$12,2,0)-1),진행중!W34)))</f>
        <v/>
      </c>
      <c r="F271">
        <f>IF($A271="","",COUNTIF($A$2:$A271,$A271))</f>
        <v/>
      </c>
      <c r="G271">
        <f>IF($A271="","",$A271&amp;"|"&amp;$F271)</f>
        <v/>
      </c>
    </row>
    <row r="272">
      <c r="A272">
        <f>IF(AND(진행중!D35&lt;&gt;"",진행중!V35&lt;&gt;"",진행중!L35&lt;&gt;"",진행중!L35&lt;&gt;"X",진행중!AA35&lt;&gt;"완료"),진행중!L35,"")</f>
        <v/>
      </c>
      <c r="B272">
        <f>IF($A272="","",진행중!D35)</f>
        <v/>
      </c>
      <c r="C272" t="inlineStr">
        <is>
          <t>PM</t>
        </is>
      </c>
      <c r="D272" s="22">
        <f>IF($A272="","",진행중!V35)</f>
        <v/>
      </c>
      <c r="E272" s="22">
        <f>IF($A272="","",IF(VLOOKUP($C272,설정!$A$4:$B$12,2,0)=0,진행중!W35,MIN(WORKDAY(진행중!V35,VLOOKUP($C272,설정!$A$4:$B$12,2,0)-1),진행중!W35)))</f>
        <v/>
      </c>
      <c r="F272">
        <f>IF($A272="","",COUNTIF($A$2:$A272,$A272))</f>
        <v/>
      </c>
      <c r="G272">
        <f>IF($A272="","",$A272&amp;"|"&amp;$F272)</f>
        <v/>
      </c>
    </row>
    <row r="273">
      <c r="A273">
        <f>IF(AND(진행중!D35&lt;&gt;"",진행중!V35&lt;&gt;"",진행중!M35&lt;&gt;"",진행중!M35&lt;&gt;"X",진행중!AA35&lt;&gt;"완료"),진행중!M35,"")</f>
        <v/>
      </c>
      <c r="B273">
        <f>IF($A273="","",진행중!D35)</f>
        <v/>
      </c>
      <c r="C273" t="inlineStr">
        <is>
          <t>검토</t>
        </is>
      </c>
      <c r="D273" s="22">
        <f>IF($A273="","",진행중!V35)</f>
        <v/>
      </c>
      <c r="E273" s="22">
        <f>IF($A273="","",IF(VLOOKUP($C273,설정!$A$4:$B$12,2,0)=0,진행중!W35,MIN(WORKDAY(진행중!V35,VLOOKUP($C273,설정!$A$4:$B$12,2,0)-1),진행중!W35)))</f>
        <v/>
      </c>
      <c r="F273">
        <f>IF($A273="","",COUNTIF($A$2:$A273,$A273))</f>
        <v/>
      </c>
      <c r="G273">
        <f>IF($A273="","",$A273&amp;"|"&amp;$F273)</f>
        <v/>
      </c>
    </row>
    <row r="274">
      <c r="A274">
        <f>IF(AND(진행중!D35&lt;&gt;"",진행중!V35&lt;&gt;"",진행중!N35&lt;&gt;"",진행중!N35&lt;&gt;"X",진행중!AA35&lt;&gt;"완료"),진행중!N35,"")</f>
        <v/>
      </c>
      <c r="B274">
        <f>IF($A274="","",진행중!D35)</f>
        <v/>
      </c>
      <c r="C274" t="inlineStr">
        <is>
          <t>내역</t>
        </is>
      </c>
      <c r="D274" s="22">
        <f>IF($A274="","",진행중!V35)</f>
        <v/>
      </c>
      <c r="E274" s="22">
        <f>IF($A274="","",IF(VLOOKUP($C274,설정!$A$4:$B$12,2,0)=0,진행중!W35,MIN(WORKDAY(진행중!V35,VLOOKUP($C274,설정!$A$4:$B$12,2,0)-1),진행중!W35)))</f>
        <v/>
      </c>
      <c r="F274">
        <f>IF($A274="","",COUNTIF($A$2:$A274,$A274))</f>
        <v/>
      </c>
      <c r="G274">
        <f>IF($A274="","",$A274&amp;"|"&amp;$F274)</f>
        <v/>
      </c>
    </row>
    <row r="275">
      <c r="A275">
        <f>IF(AND(진행중!D35&lt;&gt;"",진행중!V35&lt;&gt;"",진행중!O35&lt;&gt;"",진행중!O35&lt;&gt;"X",진행중!AA35&lt;&gt;"완료"),진행중!O35,"")</f>
        <v/>
      </c>
      <c r="B275">
        <f>IF($A275="","",진행중!D35)</f>
        <v/>
      </c>
      <c r="C275" t="inlineStr">
        <is>
          <t>가설</t>
        </is>
      </c>
      <c r="D275" s="22">
        <f>IF($A275="","",진행중!V35)</f>
        <v/>
      </c>
      <c r="E275" s="22">
        <f>IF($A275="","",IF(VLOOKUP($C275,설정!$A$4:$B$12,2,0)=0,진행중!W35,MIN(WORKDAY(진행중!V35,VLOOKUP($C275,설정!$A$4:$B$12,2,0)-1),진행중!W35)))</f>
        <v/>
      </c>
      <c r="F275">
        <f>IF($A275="","",COUNTIF($A$2:$A275,$A275))</f>
        <v/>
      </c>
      <c r="G275">
        <f>IF($A275="","",$A275&amp;"|"&amp;$F275)</f>
        <v/>
      </c>
    </row>
    <row r="276">
      <c r="A276">
        <f>IF(AND(진행중!D35&lt;&gt;"",진행중!V35&lt;&gt;"",진행중!P35&lt;&gt;"",진행중!P35&lt;&gt;"X",진행중!AA35&lt;&gt;"완료"),진행중!P35,"")</f>
        <v/>
      </c>
      <c r="B276">
        <f>IF($A276="","",진행중!D35)</f>
        <v/>
      </c>
      <c r="C276" t="inlineStr">
        <is>
          <t>세대</t>
        </is>
      </c>
      <c r="D276" s="22">
        <f>IF($A276="","",진행중!V35)</f>
        <v/>
      </c>
      <c r="E276" s="22">
        <f>IF($A276="","",IF(VLOOKUP($C276,설정!$A$4:$B$12,2,0)=0,진행중!W35,MIN(WORKDAY(진행중!V35,VLOOKUP($C276,설정!$A$4:$B$12,2,0)-1),진행중!W35)))</f>
        <v/>
      </c>
      <c r="F276">
        <f>IF($A276="","",COUNTIF($A$2:$A276,$A276))</f>
        <v/>
      </c>
      <c r="G276">
        <f>IF($A276="","",$A276&amp;"|"&amp;$F276)</f>
        <v/>
      </c>
    </row>
    <row r="277">
      <c r="A277">
        <f>IF(AND(진행중!D35&lt;&gt;"",진행중!V35&lt;&gt;"",진행중!Q35&lt;&gt;"",진행중!Q35&lt;&gt;"X",진행중!AA35&lt;&gt;"완료"),진행중!Q35,"")</f>
        <v/>
      </c>
      <c r="B277">
        <f>IF($A277="","",진행중!D35)</f>
        <v/>
      </c>
      <c r="C277" t="inlineStr">
        <is>
          <t>내부</t>
        </is>
      </c>
      <c r="D277" s="22">
        <f>IF($A277="","",진행중!V35)</f>
        <v/>
      </c>
      <c r="E277" s="22">
        <f>IF($A277="","",IF(VLOOKUP($C277,설정!$A$4:$B$12,2,0)=0,진행중!W35,MIN(WORKDAY(진행중!V35,VLOOKUP($C277,설정!$A$4:$B$12,2,0)-1),진행중!W35)))</f>
        <v/>
      </c>
      <c r="F277">
        <f>IF($A277="","",COUNTIF($A$2:$A277,$A277))</f>
        <v/>
      </c>
      <c r="G277">
        <f>IF($A277="","",$A277&amp;"|"&amp;$F277)</f>
        <v/>
      </c>
    </row>
    <row r="278">
      <c r="A278">
        <f>IF(AND(진행중!D35&lt;&gt;"",진행중!V35&lt;&gt;"",진행중!R35&lt;&gt;"",진행중!R35&lt;&gt;"X",진행중!AA35&lt;&gt;"완료"),진행중!R35,"")</f>
        <v/>
      </c>
      <c r="B278">
        <f>IF($A278="","",진행중!D35)</f>
        <v/>
      </c>
      <c r="C278" t="inlineStr">
        <is>
          <t>외부</t>
        </is>
      </c>
      <c r="D278" s="22">
        <f>IF($A278="","",진행중!V35)</f>
        <v/>
      </c>
      <c r="E278" s="22">
        <f>IF($A278="","",IF(VLOOKUP($C278,설정!$A$4:$B$12,2,0)=0,진행중!W35,MIN(WORKDAY(진행중!V35,VLOOKUP($C278,설정!$A$4:$B$12,2,0)-1),진행중!W35)))</f>
        <v/>
      </c>
      <c r="F278">
        <f>IF($A278="","",COUNTIF($A$2:$A278,$A278))</f>
        <v/>
      </c>
      <c r="G278">
        <f>IF($A278="","",$A278&amp;"|"&amp;$F278)</f>
        <v/>
      </c>
    </row>
    <row r="279">
      <c r="A279">
        <f>IF(AND(진행중!D35&lt;&gt;"",진행중!V35&lt;&gt;"",진행중!S35&lt;&gt;"",진행중!S35&lt;&gt;"X",진행중!AA35&lt;&gt;"완료"),진행중!S35,"")</f>
        <v/>
      </c>
      <c r="B279">
        <f>IF($A279="","",진행중!D35)</f>
        <v/>
      </c>
      <c r="C279" t="inlineStr">
        <is>
          <t>창호</t>
        </is>
      </c>
      <c r="D279" s="22">
        <f>IF($A279="","",진행중!V35)</f>
        <v/>
      </c>
      <c r="E279" s="22">
        <f>IF($A279="","",IF(VLOOKUP($C279,설정!$A$4:$B$12,2,0)=0,진행중!W35,MIN(WORKDAY(진행중!V35,VLOOKUP($C279,설정!$A$4:$B$12,2,0)-1),진행중!W35)))</f>
        <v/>
      </c>
      <c r="F279">
        <f>IF($A279="","",COUNTIF($A$2:$A279,$A279))</f>
        <v/>
      </c>
      <c r="G279">
        <f>IF($A279="","",$A279&amp;"|"&amp;$F279)</f>
        <v/>
      </c>
    </row>
    <row r="280">
      <c r="A280">
        <f>IF(AND(진행중!D35&lt;&gt;"",진행중!V35&lt;&gt;"",진행중!T35&lt;&gt;"",진행중!T35&lt;&gt;"X",진행중!AA35&lt;&gt;"완료"),진행중!T35,"")</f>
        <v/>
      </c>
      <c r="B280">
        <f>IF($A280="","",진행중!D35)</f>
        <v/>
      </c>
      <c r="C280" t="inlineStr">
        <is>
          <t>조적</t>
        </is>
      </c>
      <c r="D280" s="22">
        <f>IF($A280="","",진행중!V35)</f>
        <v/>
      </c>
      <c r="E280" s="22">
        <f>IF($A280="","",IF(VLOOKUP($C280,설정!$A$4:$B$12,2,0)=0,진행중!W35,MIN(WORKDAY(진행중!V35,VLOOKUP($C280,설정!$A$4:$B$12,2,0)-1),진행중!W35)))</f>
        <v/>
      </c>
      <c r="F280">
        <f>IF($A280="","",COUNTIF($A$2:$A280,$A280))</f>
        <v/>
      </c>
      <c r="G280">
        <f>IF($A280="","",$A280&amp;"|"&amp;$F280)</f>
        <v/>
      </c>
    </row>
    <row r="281">
      <c r="A281">
        <f>IF(AND(진행중!D36&lt;&gt;"",진행중!V36&lt;&gt;"",진행중!L36&lt;&gt;"",진행중!L36&lt;&gt;"X",진행중!AA36&lt;&gt;"완료"),진행중!L36,"")</f>
        <v/>
      </c>
      <c r="B281">
        <f>IF($A281="","",진행중!D36)</f>
        <v/>
      </c>
      <c r="C281" t="inlineStr">
        <is>
          <t>PM</t>
        </is>
      </c>
      <c r="D281" s="22">
        <f>IF($A281="","",진행중!V36)</f>
        <v/>
      </c>
      <c r="E281" s="22">
        <f>IF($A281="","",IF(VLOOKUP($C281,설정!$A$4:$B$12,2,0)=0,진행중!W36,MIN(WORKDAY(진행중!V36,VLOOKUP($C281,설정!$A$4:$B$12,2,0)-1),진행중!W36)))</f>
        <v/>
      </c>
      <c r="F281">
        <f>IF($A281="","",COUNTIF($A$2:$A281,$A281))</f>
        <v/>
      </c>
      <c r="G281">
        <f>IF($A281="","",$A281&amp;"|"&amp;$F281)</f>
        <v/>
      </c>
    </row>
    <row r="282">
      <c r="A282">
        <f>IF(AND(진행중!D36&lt;&gt;"",진행중!V36&lt;&gt;"",진행중!M36&lt;&gt;"",진행중!M36&lt;&gt;"X",진행중!AA36&lt;&gt;"완료"),진행중!M36,"")</f>
        <v/>
      </c>
      <c r="B282">
        <f>IF($A282="","",진행중!D36)</f>
        <v/>
      </c>
      <c r="C282" t="inlineStr">
        <is>
          <t>검토</t>
        </is>
      </c>
      <c r="D282" s="22">
        <f>IF($A282="","",진행중!V36)</f>
        <v/>
      </c>
      <c r="E282" s="22">
        <f>IF($A282="","",IF(VLOOKUP($C282,설정!$A$4:$B$12,2,0)=0,진행중!W36,MIN(WORKDAY(진행중!V36,VLOOKUP($C282,설정!$A$4:$B$12,2,0)-1),진행중!W36)))</f>
        <v/>
      </c>
      <c r="F282">
        <f>IF($A282="","",COUNTIF($A$2:$A282,$A282))</f>
        <v/>
      </c>
      <c r="G282">
        <f>IF($A282="","",$A282&amp;"|"&amp;$F282)</f>
        <v/>
      </c>
    </row>
    <row r="283">
      <c r="A283">
        <f>IF(AND(진행중!D36&lt;&gt;"",진행중!V36&lt;&gt;"",진행중!N36&lt;&gt;"",진행중!N36&lt;&gt;"X",진행중!AA36&lt;&gt;"완료"),진행중!N36,"")</f>
        <v/>
      </c>
      <c r="B283">
        <f>IF($A283="","",진행중!D36)</f>
        <v/>
      </c>
      <c r="C283" t="inlineStr">
        <is>
          <t>내역</t>
        </is>
      </c>
      <c r="D283" s="22">
        <f>IF($A283="","",진행중!V36)</f>
        <v/>
      </c>
      <c r="E283" s="22">
        <f>IF($A283="","",IF(VLOOKUP($C283,설정!$A$4:$B$12,2,0)=0,진행중!W36,MIN(WORKDAY(진행중!V36,VLOOKUP($C283,설정!$A$4:$B$12,2,0)-1),진행중!W36)))</f>
        <v/>
      </c>
      <c r="F283">
        <f>IF($A283="","",COUNTIF($A$2:$A283,$A283))</f>
        <v/>
      </c>
      <c r="G283">
        <f>IF($A283="","",$A283&amp;"|"&amp;$F283)</f>
        <v/>
      </c>
    </row>
    <row r="284">
      <c r="A284">
        <f>IF(AND(진행중!D36&lt;&gt;"",진행중!V36&lt;&gt;"",진행중!O36&lt;&gt;"",진행중!O36&lt;&gt;"X",진행중!AA36&lt;&gt;"완료"),진행중!O36,"")</f>
        <v/>
      </c>
      <c r="B284">
        <f>IF($A284="","",진행중!D36)</f>
        <v/>
      </c>
      <c r="C284" t="inlineStr">
        <is>
          <t>가설</t>
        </is>
      </c>
      <c r="D284" s="22">
        <f>IF($A284="","",진행중!V36)</f>
        <v/>
      </c>
      <c r="E284" s="22">
        <f>IF($A284="","",IF(VLOOKUP($C284,설정!$A$4:$B$12,2,0)=0,진행중!W36,MIN(WORKDAY(진행중!V36,VLOOKUP($C284,설정!$A$4:$B$12,2,0)-1),진행중!W36)))</f>
        <v/>
      </c>
      <c r="F284">
        <f>IF($A284="","",COUNTIF($A$2:$A284,$A284))</f>
        <v/>
      </c>
      <c r="G284">
        <f>IF($A284="","",$A284&amp;"|"&amp;$F284)</f>
        <v/>
      </c>
    </row>
    <row r="285">
      <c r="A285">
        <f>IF(AND(진행중!D36&lt;&gt;"",진행중!V36&lt;&gt;"",진행중!P36&lt;&gt;"",진행중!P36&lt;&gt;"X",진행중!AA36&lt;&gt;"완료"),진행중!P36,"")</f>
        <v/>
      </c>
      <c r="B285">
        <f>IF($A285="","",진행중!D36)</f>
        <v/>
      </c>
      <c r="C285" t="inlineStr">
        <is>
          <t>세대</t>
        </is>
      </c>
      <c r="D285" s="22">
        <f>IF($A285="","",진행중!V36)</f>
        <v/>
      </c>
      <c r="E285" s="22">
        <f>IF($A285="","",IF(VLOOKUP($C285,설정!$A$4:$B$12,2,0)=0,진행중!W36,MIN(WORKDAY(진행중!V36,VLOOKUP($C285,설정!$A$4:$B$12,2,0)-1),진행중!W36)))</f>
        <v/>
      </c>
      <c r="F285">
        <f>IF($A285="","",COUNTIF($A$2:$A285,$A285))</f>
        <v/>
      </c>
      <c r="G285">
        <f>IF($A285="","",$A285&amp;"|"&amp;$F285)</f>
        <v/>
      </c>
    </row>
    <row r="286">
      <c r="A286">
        <f>IF(AND(진행중!D36&lt;&gt;"",진행중!V36&lt;&gt;"",진행중!Q36&lt;&gt;"",진행중!Q36&lt;&gt;"X",진행중!AA36&lt;&gt;"완료"),진행중!Q36,"")</f>
        <v/>
      </c>
      <c r="B286">
        <f>IF($A286="","",진행중!D36)</f>
        <v/>
      </c>
      <c r="C286" t="inlineStr">
        <is>
          <t>내부</t>
        </is>
      </c>
      <c r="D286" s="22">
        <f>IF($A286="","",진행중!V36)</f>
        <v/>
      </c>
      <c r="E286" s="22">
        <f>IF($A286="","",IF(VLOOKUP($C286,설정!$A$4:$B$12,2,0)=0,진행중!W36,MIN(WORKDAY(진행중!V36,VLOOKUP($C286,설정!$A$4:$B$12,2,0)-1),진행중!W36)))</f>
        <v/>
      </c>
      <c r="F286">
        <f>IF($A286="","",COUNTIF($A$2:$A286,$A286))</f>
        <v/>
      </c>
      <c r="G286">
        <f>IF($A286="","",$A286&amp;"|"&amp;$F286)</f>
        <v/>
      </c>
    </row>
    <row r="287">
      <c r="A287">
        <f>IF(AND(진행중!D36&lt;&gt;"",진행중!V36&lt;&gt;"",진행중!R36&lt;&gt;"",진행중!R36&lt;&gt;"X",진행중!AA36&lt;&gt;"완료"),진행중!R36,"")</f>
        <v/>
      </c>
      <c r="B287">
        <f>IF($A287="","",진행중!D36)</f>
        <v/>
      </c>
      <c r="C287" t="inlineStr">
        <is>
          <t>외부</t>
        </is>
      </c>
      <c r="D287" s="22">
        <f>IF($A287="","",진행중!V36)</f>
        <v/>
      </c>
      <c r="E287" s="22">
        <f>IF($A287="","",IF(VLOOKUP($C287,설정!$A$4:$B$12,2,0)=0,진행중!W36,MIN(WORKDAY(진행중!V36,VLOOKUP($C287,설정!$A$4:$B$12,2,0)-1),진행중!W36)))</f>
        <v/>
      </c>
      <c r="F287">
        <f>IF($A287="","",COUNTIF($A$2:$A287,$A287))</f>
        <v/>
      </c>
      <c r="G287">
        <f>IF($A287="","",$A287&amp;"|"&amp;$F287)</f>
        <v/>
      </c>
    </row>
    <row r="288">
      <c r="A288">
        <f>IF(AND(진행중!D36&lt;&gt;"",진행중!V36&lt;&gt;"",진행중!S36&lt;&gt;"",진행중!S36&lt;&gt;"X",진행중!AA36&lt;&gt;"완료"),진행중!S36,"")</f>
        <v/>
      </c>
      <c r="B288">
        <f>IF($A288="","",진행중!D36)</f>
        <v/>
      </c>
      <c r="C288" t="inlineStr">
        <is>
          <t>창호</t>
        </is>
      </c>
      <c r="D288" s="22">
        <f>IF($A288="","",진행중!V36)</f>
        <v/>
      </c>
      <c r="E288" s="22">
        <f>IF($A288="","",IF(VLOOKUP($C288,설정!$A$4:$B$12,2,0)=0,진행중!W36,MIN(WORKDAY(진행중!V36,VLOOKUP($C288,설정!$A$4:$B$12,2,0)-1),진행중!W36)))</f>
        <v/>
      </c>
      <c r="F288">
        <f>IF($A288="","",COUNTIF($A$2:$A288,$A288))</f>
        <v/>
      </c>
      <c r="G288">
        <f>IF($A288="","",$A288&amp;"|"&amp;$F288)</f>
        <v/>
      </c>
    </row>
    <row r="289">
      <c r="A289">
        <f>IF(AND(진행중!D36&lt;&gt;"",진행중!V36&lt;&gt;"",진행중!T36&lt;&gt;"",진행중!T36&lt;&gt;"X",진행중!AA36&lt;&gt;"완료"),진행중!T36,"")</f>
        <v/>
      </c>
      <c r="B289">
        <f>IF($A289="","",진행중!D36)</f>
        <v/>
      </c>
      <c r="C289" t="inlineStr">
        <is>
          <t>조적</t>
        </is>
      </c>
      <c r="D289" s="22">
        <f>IF($A289="","",진행중!V36)</f>
        <v/>
      </c>
      <c r="E289" s="22">
        <f>IF($A289="","",IF(VLOOKUP($C289,설정!$A$4:$B$12,2,0)=0,진행중!W36,MIN(WORKDAY(진행중!V36,VLOOKUP($C289,설정!$A$4:$B$12,2,0)-1),진행중!W36)))</f>
        <v/>
      </c>
      <c r="F289">
        <f>IF($A289="","",COUNTIF($A$2:$A289,$A289))</f>
        <v/>
      </c>
      <c r="G289">
        <f>IF($A289="","",$A289&amp;"|"&amp;$F289)</f>
        <v/>
      </c>
    </row>
    <row r="290">
      <c r="A290">
        <f>IF(AND(진행중!D37&lt;&gt;"",진행중!V37&lt;&gt;"",진행중!L37&lt;&gt;"",진행중!L37&lt;&gt;"X",진행중!AA37&lt;&gt;"완료"),진행중!L37,"")</f>
        <v/>
      </c>
      <c r="B290">
        <f>IF($A290="","",진행중!D37)</f>
        <v/>
      </c>
      <c r="C290" t="inlineStr">
        <is>
          <t>PM</t>
        </is>
      </c>
      <c r="D290" s="22">
        <f>IF($A290="","",진행중!V37)</f>
        <v/>
      </c>
      <c r="E290" s="22">
        <f>IF($A290="","",IF(VLOOKUP($C290,설정!$A$4:$B$12,2,0)=0,진행중!W37,MIN(WORKDAY(진행중!V37,VLOOKUP($C290,설정!$A$4:$B$12,2,0)-1),진행중!W37)))</f>
        <v/>
      </c>
      <c r="F290">
        <f>IF($A290="","",COUNTIF($A$2:$A290,$A290))</f>
        <v/>
      </c>
      <c r="G290">
        <f>IF($A290="","",$A290&amp;"|"&amp;$F290)</f>
        <v/>
      </c>
    </row>
    <row r="291">
      <c r="A291">
        <f>IF(AND(진행중!D37&lt;&gt;"",진행중!V37&lt;&gt;"",진행중!M37&lt;&gt;"",진행중!M37&lt;&gt;"X",진행중!AA37&lt;&gt;"완료"),진행중!M37,"")</f>
        <v/>
      </c>
      <c r="B291">
        <f>IF($A291="","",진행중!D37)</f>
        <v/>
      </c>
      <c r="C291" t="inlineStr">
        <is>
          <t>검토</t>
        </is>
      </c>
      <c r="D291" s="22">
        <f>IF($A291="","",진행중!V37)</f>
        <v/>
      </c>
      <c r="E291" s="22">
        <f>IF($A291="","",IF(VLOOKUP($C291,설정!$A$4:$B$12,2,0)=0,진행중!W37,MIN(WORKDAY(진행중!V37,VLOOKUP($C291,설정!$A$4:$B$12,2,0)-1),진행중!W37)))</f>
        <v/>
      </c>
      <c r="F291">
        <f>IF($A291="","",COUNTIF($A$2:$A291,$A291))</f>
        <v/>
      </c>
      <c r="G291">
        <f>IF($A291="","",$A291&amp;"|"&amp;$F291)</f>
        <v/>
      </c>
    </row>
    <row r="292">
      <c r="A292">
        <f>IF(AND(진행중!D37&lt;&gt;"",진행중!V37&lt;&gt;"",진행중!N37&lt;&gt;"",진행중!N37&lt;&gt;"X",진행중!AA37&lt;&gt;"완료"),진행중!N37,"")</f>
        <v/>
      </c>
      <c r="B292">
        <f>IF($A292="","",진행중!D37)</f>
        <v/>
      </c>
      <c r="C292" t="inlineStr">
        <is>
          <t>내역</t>
        </is>
      </c>
      <c r="D292" s="22">
        <f>IF($A292="","",진행중!V37)</f>
        <v/>
      </c>
      <c r="E292" s="22">
        <f>IF($A292="","",IF(VLOOKUP($C292,설정!$A$4:$B$12,2,0)=0,진행중!W37,MIN(WORKDAY(진행중!V37,VLOOKUP($C292,설정!$A$4:$B$12,2,0)-1),진행중!W37)))</f>
        <v/>
      </c>
      <c r="F292">
        <f>IF($A292="","",COUNTIF($A$2:$A292,$A292))</f>
        <v/>
      </c>
      <c r="G292">
        <f>IF($A292="","",$A292&amp;"|"&amp;$F292)</f>
        <v/>
      </c>
    </row>
    <row r="293">
      <c r="A293">
        <f>IF(AND(진행중!D37&lt;&gt;"",진행중!V37&lt;&gt;"",진행중!O37&lt;&gt;"",진행중!O37&lt;&gt;"X",진행중!AA37&lt;&gt;"완료"),진행중!O37,"")</f>
        <v/>
      </c>
      <c r="B293">
        <f>IF($A293="","",진행중!D37)</f>
        <v/>
      </c>
      <c r="C293" t="inlineStr">
        <is>
          <t>가설</t>
        </is>
      </c>
      <c r="D293" s="22">
        <f>IF($A293="","",진행중!V37)</f>
        <v/>
      </c>
      <c r="E293" s="22">
        <f>IF($A293="","",IF(VLOOKUP($C293,설정!$A$4:$B$12,2,0)=0,진행중!W37,MIN(WORKDAY(진행중!V37,VLOOKUP($C293,설정!$A$4:$B$12,2,0)-1),진행중!W37)))</f>
        <v/>
      </c>
      <c r="F293">
        <f>IF($A293="","",COUNTIF($A$2:$A293,$A293))</f>
        <v/>
      </c>
      <c r="G293">
        <f>IF($A293="","",$A293&amp;"|"&amp;$F293)</f>
        <v/>
      </c>
    </row>
    <row r="294">
      <c r="A294">
        <f>IF(AND(진행중!D37&lt;&gt;"",진행중!V37&lt;&gt;"",진행중!P37&lt;&gt;"",진행중!P37&lt;&gt;"X",진행중!AA37&lt;&gt;"완료"),진행중!P37,"")</f>
        <v/>
      </c>
      <c r="B294">
        <f>IF($A294="","",진행중!D37)</f>
        <v/>
      </c>
      <c r="C294" t="inlineStr">
        <is>
          <t>세대</t>
        </is>
      </c>
      <c r="D294" s="22">
        <f>IF($A294="","",진행중!V37)</f>
        <v/>
      </c>
      <c r="E294" s="22">
        <f>IF($A294="","",IF(VLOOKUP($C294,설정!$A$4:$B$12,2,0)=0,진행중!W37,MIN(WORKDAY(진행중!V37,VLOOKUP($C294,설정!$A$4:$B$12,2,0)-1),진행중!W37)))</f>
        <v/>
      </c>
      <c r="F294">
        <f>IF($A294="","",COUNTIF($A$2:$A294,$A294))</f>
        <v/>
      </c>
      <c r="G294">
        <f>IF($A294="","",$A294&amp;"|"&amp;$F294)</f>
        <v/>
      </c>
    </row>
    <row r="295">
      <c r="A295">
        <f>IF(AND(진행중!D37&lt;&gt;"",진행중!V37&lt;&gt;"",진행중!Q37&lt;&gt;"",진행중!Q37&lt;&gt;"X",진행중!AA37&lt;&gt;"완료"),진행중!Q37,"")</f>
        <v/>
      </c>
      <c r="B295">
        <f>IF($A295="","",진행중!D37)</f>
        <v/>
      </c>
      <c r="C295" t="inlineStr">
        <is>
          <t>내부</t>
        </is>
      </c>
      <c r="D295" s="22">
        <f>IF($A295="","",진행중!V37)</f>
        <v/>
      </c>
      <c r="E295" s="22">
        <f>IF($A295="","",IF(VLOOKUP($C295,설정!$A$4:$B$12,2,0)=0,진행중!W37,MIN(WORKDAY(진행중!V37,VLOOKUP($C295,설정!$A$4:$B$12,2,0)-1),진행중!W37)))</f>
        <v/>
      </c>
      <c r="F295">
        <f>IF($A295="","",COUNTIF($A$2:$A295,$A295))</f>
        <v/>
      </c>
      <c r="G295">
        <f>IF($A295="","",$A295&amp;"|"&amp;$F295)</f>
        <v/>
      </c>
    </row>
    <row r="296">
      <c r="A296">
        <f>IF(AND(진행중!D37&lt;&gt;"",진행중!V37&lt;&gt;"",진행중!R37&lt;&gt;"",진행중!R37&lt;&gt;"X",진행중!AA37&lt;&gt;"완료"),진행중!R37,"")</f>
        <v/>
      </c>
      <c r="B296">
        <f>IF($A296="","",진행중!D37)</f>
        <v/>
      </c>
      <c r="C296" t="inlineStr">
        <is>
          <t>외부</t>
        </is>
      </c>
      <c r="D296" s="22">
        <f>IF($A296="","",진행중!V37)</f>
        <v/>
      </c>
      <c r="E296" s="22">
        <f>IF($A296="","",IF(VLOOKUP($C296,설정!$A$4:$B$12,2,0)=0,진행중!W37,MIN(WORKDAY(진행중!V37,VLOOKUP($C296,설정!$A$4:$B$12,2,0)-1),진행중!W37)))</f>
        <v/>
      </c>
      <c r="F296">
        <f>IF($A296="","",COUNTIF($A$2:$A296,$A296))</f>
        <v/>
      </c>
      <c r="G296">
        <f>IF($A296="","",$A296&amp;"|"&amp;$F296)</f>
        <v/>
      </c>
    </row>
    <row r="297">
      <c r="A297">
        <f>IF(AND(진행중!D37&lt;&gt;"",진행중!V37&lt;&gt;"",진행중!S37&lt;&gt;"",진행중!S37&lt;&gt;"X",진행중!AA37&lt;&gt;"완료"),진행중!S37,"")</f>
        <v/>
      </c>
      <c r="B297">
        <f>IF($A297="","",진행중!D37)</f>
        <v/>
      </c>
      <c r="C297" t="inlineStr">
        <is>
          <t>창호</t>
        </is>
      </c>
      <c r="D297" s="22">
        <f>IF($A297="","",진행중!V37)</f>
        <v/>
      </c>
      <c r="E297" s="22">
        <f>IF($A297="","",IF(VLOOKUP($C297,설정!$A$4:$B$12,2,0)=0,진행중!W37,MIN(WORKDAY(진행중!V37,VLOOKUP($C297,설정!$A$4:$B$12,2,0)-1),진행중!W37)))</f>
        <v/>
      </c>
      <c r="F297">
        <f>IF($A297="","",COUNTIF($A$2:$A297,$A297))</f>
        <v/>
      </c>
      <c r="G297">
        <f>IF($A297="","",$A297&amp;"|"&amp;$F297)</f>
        <v/>
      </c>
    </row>
    <row r="298">
      <c r="A298">
        <f>IF(AND(진행중!D37&lt;&gt;"",진행중!V37&lt;&gt;"",진행중!T37&lt;&gt;"",진행중!T37&lt;&gt;"X",진행중!AA37&lt;&gt;"완료"),진행중!T37,"")</f>
        <v/>
      </c>
      <c r="B298">
        <f>IF($A298="","",진행중!D37)</f>
        <v/>
      </c>
      <c r="C298" t="inlineStr">
        <is>
          <t>조적</t>
        </is>
      </c>
      <c r="D298" s="22">
        <f>IF($A298="","",진행중!V37)</f>
        <v/>
      </c>
      <c r="E298" s="22">
        <f>IF($A298="","",IF(VLOOKUP($C298,설정!$A$4:$B$12,2,0)=0,진행중!W37,MIN(WORKDAY(진행중!V37,VLOOKUP($C298,설정!$A$4:$B$12,2,0)-1),진행중!W37)))</f>
        <v/>
      </c>
      <c r="F298">
        <f>IF($A298="","",COUNTIF($A$2:$A298,$A298))</f>
        <v/>
      </c>
      <c r="G298">
        <f>IF($A298="","",$A298&amp;"|"&amp;$F298)</f>
        <v/>
      </c>
    </row>
    <row r="299">
      <c r="A299">
        <f>IF(AND(진행중!D38&lt;&gt;"",진행중!V38&lt;&gt;"",진행중!L38&lt;&gt;"",진행중!L38&lt;&gt;"X",진행중!AA38&lt;&gt;"완료"),진행중!L38,"")</f>
        <v/>
      </c>
      <c r="B299">
        <f>IF($A299="","",진행중!D38)</f>
        <v/>
      </c>
      <c r="C299" t="inlineStr">
        <is>
          <t>PM</t>
        </is>
      </c>
      <c r="D299" s="22">
        <f>IF($A299="","",진행중!V38)</f>
        <v/>
      </c>
      <c r="E299" s="22">
        <f>IF($A299="","",IF(VLOOKUP($C299,설정!$A$4:$B$12,2,0)=0,진행중!W38,MIN(WORKDAY(진행중!V38,VLOOKUP($C299,설정!$A$4:$B$12,2,0)-1),진행중!W38)))</f>
        <v/>
      </c>
      <c r="F299">
        <f>IF($A299="","",COUNTIF($A$2:$A299,$A299))</f>
        <v/>
      </c>
      <c r="G299">
        <f>IF($A299="","",$A299&amp;"|"&amp;$F299)</f>
        <v/>
      </c>
    </row>
    <row r="300">
      <c r="A300">
        <f>IF(AND(진행중!D38&lt;&gt;"",진행중!V38&lt;&gt;"",진행중!M38&lt;&gt;"",진행중!M38&lt;&gt;"X",진행중!AA38&lt;&gt;"완료"),진행중!M38,"")</f>
        <v/>
      </c>
      <c r="B300">
        <f>IF($A300="","",진행중!D38)</f>
        <v/>
      </c>
      <c r="C300" t="inlineStr">
        <is>
          <t>검토</t>
        </is>
      </c>
      <c r="D300" s="22">
        <f>IF($A300="","",진행중!V38)</f>
        <v/>
      </c>
      <c r="E300" s="22">
        <f>IF($A300="","",IF(VLOOKUP($C300,설정!$A$4:$B$12,2,0)=0,진행중!W38,MIN(WORKDAY(진행중!V38,VLOOKUP($C300,설정!$A$4:$B$12,2,0)-1),진행중!W38)))</f>
        <v/>
      </c>
      <c r="F300">
        <f>IF($A300="","",COUNTIF($A$2:$A300,$A300))</f>
        <v/>
      </c>
      <c r="G300">
        <f>IF($A300="","",$A300&amp;"|"&amp;$F300)</f>
        <v/>
      </c>
    </row>
    <row r="301">
      <c r="A301">
        <f>IF(AND(진행중!D38&lt;&gt;"",진행중!V38&lt;&gt;"",진행중!N38&lt;&gt;"",진행중!N38&lt;&gt;"X",진행중!AA38&lt;&gt;"완료"),진행중!N38,"")</f>
        <v/>
      </c>
      <c r="B301">
        <f>IF($A301="","",진행중!D38)</f>
        <v/>
      </c>
      <c r="C301" t="inlineStr">
        <is>
          <t>내역</t>
        </is>
      </c>
      <c r="D301" s="22">
        <f>IF($A301="","",진행중!V38)</f>
        <v/>
      </c>
      <c r="E301" s="22">
        <f>IF($A301="","",IF(VLOOKUP($C301,설정!$A$4:$B$12,2,0)=0,진행중!W38,MIN(WORKDAY(진행중!V38,VLOOKUP($C301,설정!$A$4:$B$12,2,0)-1),진행중!W38)))</f>
        <v/>
      </c>
      <c r="F301">
        <f>IF($A301="","",COUNTIF($A$2:$A301,$A301))</f>
        <v/>
      </c>
      <c r="G301">
        <f>IF($A301="","",$A301&amp;"|"&amp;$F301)</f>
        <v/>
      </c>
    </row>
    <row r="302">
      <c r="A302">
        <f>IF(AND(진행중!D38&lt;&gt;"",진행중!V38&lt;&gt;"",진행중!O38&lt;&gt;"",진행중!O38&lt;&gt;"X",진행중!AA38&lt;&gt;"완료"),진행중!O38,"")</f>
        <v/>
      </c>
      <c r="B302">
        <f>IF($A302="","",진행중!D38)</f>
        <v/>
      </c>
      <c r="C302" t="inlineStr">
        <is>
          <t>가설</t>
        </is>
      </c>
      <c r="D302" s="22">
        <f>IF($A302="","",진행중!V38)</f>
        <v/>
      </c>
      <c r="E302" s="22">
        <f>IF($A302="","",IF(VLOOKUP($C302,설정!$A$4:$B$12,2,0)=0,진행중!W38,MIN(WORKDAY(진행중!V38,VLOOKUP($C302,설정!$A$4:$B$12,2,0)-1),진행중!W38)))</f>
        <v/>
      </c>
      <c r="F302">
        <f>IF($A302="","",COUNTIF($A$2:$A302,$A302))</f>
        <v/>
      </c>
      <c r="G302">
        <f>IF($A302="","",$A302&amp;"|"&amp;$F302)</f>
        <v/>
      </c>
    </row>
    <row r="303">
      <c r="A303">
        <f>IF(AND(진행중!D38&lt;&gt;"",진행중!V38&lt;&gt;"",진행중!P38&lt;&gt;"",진행중!P38&lt;&gt;"X",진행중!AA38&lt;&gt;"완료"),진행중!P38,"")</f>
        <v/>
      </c>
      <c r="B303">
        <f>IF($A303="","",진행중!D38)</f>
        <v/>
      </c>
      <c r="C303" t="inlineStr">
        <is>
          <t>세대</t>
        </is>
      </c>
      <c r="D303" s="22">
        <f>IF($A303="","",진행중!V38)</f>
        <v/>
      </c>
      <c r="E303" s="22">
        <f>IF($A303="","",IF(VLOOKUP($C303,설정!$A$4:$B$12,2,0)=0,진행중!W38,MIN(WORKDAY(진행중!V38,VLOOKUP($C303,설정!$A$4:$B$12,2,0)-1),진행중!W38)))</f>
        <v/>
      </c>
      <c r="F303">
        <f>IF($A303="","",COUNTIF($A$2:$A303,$A303))</f>
        <v/>
      </c>
      <c r="G303">
        <f>IF($A303="","",$A303&amp;"|"&amp;$F303)</f>
        <v/>
      </c>
    </row>
    <row r="304">
      <c r="A304">
        <f>IF(AND(진행중!D38&lt;&gt;"",진행중!V38&lt;&gt;"",진행중!Q38&lt;&gt;"",진행중!Q38&lt;&gt;"X",진행중!AA38&lt;&gt;"완료"),진행중!Q38,"")</f>
        <v/>
      </c>
      <c r="B304">
        <f>IF($A304="","",진행중!D38)</f>
        <v/>
      </c>
      <c r="C304" t="inlineStr">
        <is>
          <t>내부</t>
        </is>
      </c>
      <c r="D304" s="22">
        <f>IF($A304="","",진행중!V38)</f>
        <v/>
      </c>
      <c r="E304" s="22">
        <f>IF($A304="","",IF(VLOOKUP($C304,설정!$A$4:$B$12,2,0)=0,진행중!W38,MIN(WORKDAY(진행중!V38,VLOOKUP($C304,설정!$A$4:$B$12,2,0)-1),진행중!W38)))</f>
        <v/>
      </c>
      <c r="F304">
        <f>IF($A304="","",COUNTIF($A$2:$A304,$A304))</f>
        <v/>
      </c>
      <c r="G304">
        <f>IF($A304="","",$A304&amp;"|"&amp;$F304)</f>
        <v/>
      </c>
    </row>
    <row r="305">
      <c r="A305">
        <f>IF(AND(진행중!D38&lt;&gt;"",진행중!V38&lt;&gt;"",진행중!R38&lt;&gt;"",진행중!R38&lt;&gt;"X",진행중!AA38&lt;&gt;"완료"),진행중!R38,"")</f>
        <v/>
      </c>
      <c r="B305">
        <f>IF($A305="","",진행중!D38)</f>
        <v/>
      </c>
      <c r="C305" t="inlineStr">
        <is>
          <t>외부</t>
        </is>
      </c>
      <c r="D305" s="22">
        <f>IF($A305="","",진행중!V38)</f>
        <v/>
      </c>
      <c r="E305" s="22">
        <f>IF($A305="","",IF(VLOOKUP($C305,설정!$A$4:$B$12,2,0)=0,진행중!W38,MIN(WORKDAY(진행중!V38,VLOOKUP($C305,설정!$A$4:$B$12,2,0)-1),진행중!W38)))</f>
        <v/>
      </c>
      <c r="F305">
        <f>IF($A305="","",COUNTIF($A$2:$A305,$A305))</f>
        <v/>
      </c>
      <c r="G305">
        <f>IF($A305="","",$A305&amp;"|"&amp;$F305)</f>
        <v/>
      </c>
    </row>
    <row r="306">
      <c r="A306">
        <f>IF(AND(진행중!D38&lt;&gt;"",진행중!V38&lt;&gt;"",진행중!S38&lt;&gt;"",진행중!S38&lt;&gt;"X",진행중!AA38&lt;&gt;"완료"),진행중!S38,"")</f>
        <v/>
      </c>
      <c r="B306">
        <f>IF($A306="","",진행중!D38)</f>
        <v/>
      </c>
      <c r="C306" t="inlineStr">
        <is>
          <t>창호</t>
        </is>
      </c>
      <c r="D306" s="22">
        <f>IF($A306="","",진행중!V38)</f>
        <v/>
      </c>
      <c r="E306" s="22">
        <f>IF($A306="","",IF(VLOOKUP($C306,설정!$A$4:$B$12,2,0)=0,진행중!W38,MIN(WORKDAY(진행중!V38,VLOOKUP($C306,설정!$A$4:$B$12,2,0)-1),진행중!W38)))</f>
        <v/>
      </c>
      <c r="F306">
        <f>IF($A306="","",COUNTIF($A$2:$A306,$A306))</f>
        <v/>
      </c>
      <c r="G306">
        <f>IF($A306="","",$A306&amp;"|"&amp;$F306)</f>
        <v/>
      </c>
    </row>
    <row r="307">
      <c r="A307">
        <f>IF(AND(진행중!D38&lt;&gt;"",진행중!V38&lt;&gt;"",진행중!T38&lt;&gt;"",진행중!T38&lt;&gt;"X",진행중!AA38&lt;&gt;"완료"),진행중!T38,"")</f>
        <v/>
      </c>
      <c r="B307">
        <f>IF($A307="","",진행중!D38)</f>
        <v/>
      </c>
      <c r="C307" t="inlineStr">
        <is>
          <t>조적</t>
        </is>
      </c>
      <c r="D307" s="22">
        <f>IF($A307="","",진행중!V38)</f>
        <v/>
      </c>
      <c r="E307" s="22">
        <f>IF($A307="","",IF(VLOOKUP($C307,설정!$A$4:$B$12,2,0)=0,진행중!W38,MIN(WORKDAY(진행중!V38,VLOOKUP($C307,설정!$A$4:$B$12,2,0)-1),진행중!W38)))</f>
        <v/>
      </c>
      <c r="F307">
        <f>IF($A307="","",COUNTIF($A$2:$A307,$A307))</f>
        <v/>
      </c>
      <c r="G307">
        <f>IF($A307="","",$A307&amp;"|"&amp;$F307)</f>
        <v/>
      </c>
    </row>
    <row r="308">
      <c r="A308">
        <f>IF(AND(진행중!D39&lt;&gt;"",진행중!V39&lt;&gt;"",진행중!L39&lt;&gt;"",진행중!L39&lt;&gt;"X",진행중!AA39&lt;&gt;"완료"),진행중!L39,"")</f>
        <v/>
      </c>
      <c r="B308">
        <f>IF($A308="","",진행중!D39)</f>
        <v/>
      </c>
      <c r="C308" t="inlineStr">
        <is>
          <t>PM</t>
        </is>
      </c>
      <c r="D308" s="22">
        <f>IF($A308="","",진행중!V39)</f>
        <v/>
      </c>
      <c r="E308" s="22">
        <f>IF($A308="","",IF(VLOOKUP($C308,설정!$A$4:$B$12,2,0)=0,진행중!W39,MIN(WORKDAY(진행중!V39,VLOOKUP($C308,설정!$A$4:$B$12,2,0)-1),진행중!W39)))</f>
        <v/>
      </c>
      <c r="F308">
        <f>IF($A308="","",COUNTIF($A$2:$A308,$A308))</f>
        <v/>
      </c>
      <c r="G308">
        <f>IF($A308="","",$A308&amp;"|"&amp;$F308)</f>
        <v/>
      </c>
    </row>
    <row r="309">
      <c r="A309">
        <f>IF(AND(진행중!D39&lt;&gt;"",진행중!V39&lt;&gt;"",진행중!M39&lt;&gt;"",진행중!M39&lt;&gt;"X",진행중!AA39&lt;&gt;"완료"),진행중!M39,"")</f>
        <v/>
      </c>
      <c r="B309">
        <f>IF($A309="","",진행중!D39)</f>
        <v/>
      </c>
      <c r="C309" t="inlineStr">
        <is>
          <t>검토</t>
        </is>
      </c>
      <c r="D309" s="22">
        <f>IF($A309="","",진행중!V39)</f>
        <v/>
      </c>
      <c r="E309" s="22">
        <f>IF($A309="","",IF(VLOOKUP($C309,설정!$A$4:$B$12,2,0)=0,진행중!W39,MIN(WORKDAY(진행중!V39,VLOOKUP($C309,설정!$A$4:$B$12,2,0)-1),진행중!W39)))</f>
        <v/>
      </c>
      <c r="F309">
        <f>IF($A309="","",COUNTIF($A$2:$A309,$A309))</f>
        <v/>
      </c>
      <c r="G309">
        <f>IF($A309="","",$A309&amp;"|"&amp;$F309)</f>
        <v/>
      </c>
    </row>
    <row r="310">
      <c r="A310">
        <f>IF(AND(진행중!D39&lt;&gt;"",진행중!V39&lt;&gt;"",진행중!N39&lt;&gt;"",진행중!N39&lt;&gt;"X",진행중!AA39&lt;&gt;"완료"),진행중!N39,"")</f>
        <v/>
      </c>
      <c r="B310">
        <f>IF($A310="","",진행중!D39)</f>
        <v/>
      </c>
      <c r="C310" t="inlineStr">
        <is>
          <t>내역</t>
        </is>
      </c>
      <c r="D310" s="22">
        <f>IF($A310="","",진행중!V39)</f>
        <v/>
      </c>
      <c r="E310" s="22">
        <f>IF($A310="","",IF(VLOOKUP($C310,설정!$A$4:$B$12,2,0)=0,진행중!W39,MIN(WORKDAY(진행중!V39,VLOOKUP($C310,설정!$A$4:$B$12,2,0)-1),진행중!W39)))</f>
        <v/>
      </c>
      <c r="F310">
        <f>IF($A310="","",COUNTIF($A$2:$A310,$A310))</f>
        <v/>
      </c>
      <c r="G310">
        <f>IF($A310="","",$A310&amp;"|"&amp;$F310)</f>
        <v/>
      </c>
    </row>
    <row r="311">
      <c r="A311">
        <f>IF(AND(진행중!D39&lt;&gt;"",진행중!V39&lt;&gt;"",진행중!O39&lt;&gt;"",진행중!O39&lt;&gt;"X",진행중!AA39&lt;&gt;"완료"),진행중!O39,"")</f>
        <v/>
      </c>
      <c r="B311">
        <f>IF($A311="","",진행중!D39)</f>
        <v/>
      </c>
      <c r="C311" t="inlineStr">
        <is>
          <t>가설</t>
        </is>
      </c>
      <c r="D311" s="22">
        <f>IF($A311="","",진행중!V39)</f>
        <v/>
      </c>
      <c r="E311" s="22">
        <f>IF($A311="","",IF(VLOOKUP($C311,설정!$A$4:$B$12,2,0)=0,진행중!W39,MIN(WORKDAY(진행중!V39,VLOOKUP($C311,설정!$A$4:$B$12,2,0)-1),진행중!W39)))</f>
        <v/>
      </c>
      <c r="F311">
        <f>IF($A311="","",COUNTIF($A$2:$A311,$A311))</f>
        <v/>
      </c>
      <c r="G311">
        <f>IF($A311="","",$A311&amp;"|"&amp;$F311)</f>
        <v/>
      </c>
    </row>
    <row r="312">
      <c r="A312">
        <f>IF(AND(진행중!D39&lt;&gt;"",진행중!V39&lt;&gt;"",진행중!P39&lt;&gt;"",진행중!P39&lt;&gt;"X",진행중!AA39&lt;&gt;"완료"),진행중!P39,"")</f>
        <v/>
      </c>
      <c r="B312">
        <f>IF($A312="","",진행중!D39)</f>
        <v/>
      </c>
      <c r="C312" t="inlineStr">
        <is>
          <t>세대</t>
        </is>
      </c>
      <c r="D312" s="22">
        <f>IF($A312="","",진행중!V39)</f>
        <v/>
      </c>
      <c r="E312" s="22">
        <f>IF($A312="","",IF(VLOOKUP($C312,설정!$A$4:$B$12,2,0)=0,진행중!W39,MIN(WORKDAY(진행중!V39,VLOOKUP($C312,설정!$A$4:$B$12,2,0)-1),진행중!W39)))</f>
        <v/>
      </c>
      <c r="F312">
        <f>IF($A312="","",COUNTIF($A$2:$A312,$A312))</f>
        <v/>
      </c>
      <c r="G312">
        <f>IF($A312="","",$A312&amp;"|"&amp;$F312)</f>
        <v/>
      </c>
    </row>
    <row r="313">
      <c r="A313">
        <f>IF(AND(진행중!D39&lt;&gt;"",진행중!V39&lt;&gt;"",진행중!Q39&lt;&gt;"",진행중!Q39&lt;&gt;"X",진행중!AA39&lt;&gt;"완료"),진행중!Q39,"")</f>
        <v/>
      </c>
      <c r="B313">
        <f>IF($A313="","",진행중!D39)</f>
        <v/>
      </c>
      <c r="C313" t="inlineStr">
        <is>
          <t>내부</t>
        </is>
      </c>
      <c r="D313" s="22">
        <f>IF($A313="","",진행중!V39)</f>
        <v/>
      </c>
      <c r="E313" s="22">
        <f>IF($A313="","",IF(VLOOKUP($C313,설정!$A$4:$B$12,2,0)=0,진행중!W39,MIN(WORKDAY(진행중!V39,VLOOKUP($C313,설정!$A$4:$B$12,2,0)-1),진행중!W39)))</f>
        <v/>
      </c>
      <c r="F313">
        <f>IF($A313="","",COUNTIF($A$2:$A313,$A313))</f>
        <v/>
      </c>
      <c r="G313">
        <f>IF($A313="","",$A313&amp;"|"&amp;$F313)</f>
        <v/>
      </c>
    </row>
    <row r="314">
      <c r="A314">
        <f>IF(AND(진행중!D39&lt;&gt;"",진행중!V39&lt;&gt;"",진행중!R39&lt;&gt;"",진행중!R39&lt;&gt;"X",진행중!AA39&lt;&gt;"완료"),진행중!R39,"")</f>
        <v/>
      </c>
      <c r="B314">
        <f>IF($A314="","",진행중!D39)</f>
        <v/>
      </c>
      <c r="C314" t="inlineStr">
        <is>
          <t>외부</t>
        </is>
      </c>
      <c r="D314" s="22">
        <f>IF($A314="","",진행중!V39)</f>
        <v/>
      </c>
      <c r="E314" s="22">
        <f>IF($A314="","",IF(VLOOKUP($C314,설정!$A$4:$B$12,2,0)=0,진행중!W39,MIN(WORKDAY(진행중!V39,VLOOKUP($C314,설정!$A$4:$B$12,2,0)-1),진행중!W39)))</f>
        <v/>
      </c>
      <c r="F314">
        <f>IF($A314="","",COUNTIF($A$2:$A314,$A314))</f>
        <v/>
      </c>
      <c r="G314">
        <f>IF($A314="","",$A314&amp;"|"&amp;$F314)</f>
        <v/>
      </c>
    </row>
    <row r="315">
      <c r="A315">
        <f>IF(AND(진행중!D39&lt;&gt;"",진행중!V39&lt;&gt;"",진행중!S39&lt;&gt;"",진행중!S39&lt;&gt;"X",진행중!AA39&lt;&gt;"완료"),진행중!S39,"")</f>
        <v/>
      </c>
      <c r="B315">
        <f>IF($A315="","",진행중!D39)</f>
        <v/>
      </c>
      <c r="C315" t="inlineStr">
        <is>
          <t>창호</t>
        </is>
      </c>
      <c r="D315" s="22">
        <f>IF($A315="","",진행중!V39)</f>
        <v/>
      </c>
      <c r="E315" s="22">
        <f>IF($A315="","",IF(VLOOKUP($C315,설정!$A$4:$B$12,2,0)=0,진행중!W39,MIN(WORKDAY(진행중!V39,VLOOKUP($C315,설정!$A$4:$B$12,2,0)-1),진행중!W39)))</f>
        <v/>
      </c>
      <c r="F315">
        <f>IF($A315="","",COUNTIF($A$2:$A315,$A315))</f>
        <v/>
      </c>
      <c r="G315">
        <f>IF($A315="","",$A315&amp;"|"&amp;$F315)</f>
        <v/>
      </c>
    </row>
    <row r="316">
      <c r="A316">
        <f>IF(AND(진행중!D39&lt;&gt;"",진행중!V39&lt;&gt;"",진행중!T39&lt;&gt;"",진행중!T39&lt;&gt;"X",진행중!AA39&lt;&gt;"완료"),진행중!T39,"")</f>
        <v/>
      </c>
      <c r="B316">
        <f>IF($A316="","",진행중!D39)</f>
        <v/>
      </c>
      <c r="C316" t="inlineStr">
        <is>
          <t>조적</t>
        </is>
      </c>
      <c r="D316" s="22">
        <f>IF($A316="","",진행중!V39)</f>
        <v/>
      </c>
      <c r="E316" s="22">
        <f>IF($A316="","",IF(VLOOKUP($C316,설정!$A$4:$B$12,2,0)=0,진행중!W39,MIN(WORKDAY(진행중!V39,VLOOKUP($C316,설정!$A$4:$B$12,2,0)-1),진행중!W39)))</f>
        <v/>
      </c>
      <c r="F316">
        <f>IF($A316="","",COUNTIF($A$2:$A316,$A316))</f>
        <v/>
      </c>
      <c r="G316">
        <f>IF($A316="","",$A316&amp;"|"&amp;$F316)</f>
        <v/>
      </c>
    </row>
    <row r="317">
      <c r="A317">
        <f>IF(AND(진행중!D40&lt;&gt;"",진행중!V40&lt;&gt;"",진행중!L40&lt;&gt;"",진행중!L40&lt;&gt;"X",진행중!AA40&lt;&gt;"완료"),진행중!L40,"")</f>
        <v/>
      </c>
      <c r="B317">
        <f>IF($A317="","",진행중!D40)</f>
        <v/>
      </c>
      <c r="C317" t="inlineStr">
        <is>
          <t>PM</t>
        </is>
      </c>
      <c r="D317" s="22">
        <f>IF($A317="","",진행중!V40)</f>
        <v/>
      </c>
      <c r="E317" s="22">
        <f>IF($A317="","",IF(VLOOKUP($C317,설정!$A$4:$B$12,2,0)=0,진행중!W40,MIN(WORKDAY(진행중!V40,VLOOKUP($C317,설정!$A$4:$B$12,2,0)-1),진행중!W40)))</f>
        <v/>
      </c>
      <c r="F317">
        <f>IF($A317="","",COUNTIF($A$2:$A317,$A317))</f>
        <v/>
      </c>
      <c r="G317">
        <f>IF($A317="","",$A317&amp;"|"&amp;$F317)</f>
        <v/>
      </c>
    </row>
    <row r="318">
      <c r="A318">
        <f>IF(AND(진행중!D40&lt;&gt;"",진행중!V40&lt;&gt;"",진행중!M40&lt;&gt;"",진행중!M40&lt;&gt;"X",진행중!AA40&lt;&gt;"완료"),진행중!M40,"")</f>
        <v/>
      </c>
      <c r="B318">
        <f>IF($A318="","",진행중!D40)</f>
        <v/>
      </c>
      <c r="C318" t="inlineStr">
        <is>
          <t>검토</t>
        </is>
      </c>
      <c r="D318" s="22">
        <f>IF($A318="","",진행중!V40)</f>
        <v/>
      </c>
      <c r="E318" s="22">
        <f>IF($A318="","",IF(VLOOKUP($C318,설정!$A$4:$B$12,2,0)=0,진행중!W40,MIN(WORKDAY(진행중!V40,VLOOKUP($C318,설정!$A$4:$B$12,2,0)-1),진행중!W40)))</f>
        <v/>
      </c>
      <c r="F318">
        <f>IF($A318="","",COUNTIF($A$2:$A318,$A318))</f>
        <v/>
      </c>
      <c r="G318">
        <f>IF($A318="","",$A318&amp;"|"&amp;$F318)</f>
        <v/>
      </c>
    </row>
    <row r="319">
      <c r="A319">
        <f>IF(AND(진행중!D40&lt;&gt;"",진행중!V40&lt;&gt;"",진행중!N40&lt;&gt;"",진행중!N40&lt;&gt;"X",진행중!AA40&lt;&gt;"완료"),진행중!N40,"")</f>
        <v/>
      </c>
      <c r="B319">
        <f>IF($A319="","",진행중!D40)</f>
        <v/>
      </c>
      <c r="C319" t="inlineStr">
        <is>
          <t>내역</t>
        </is>
      </c>
      <c r="D319" s="22">
        <f>IF($A319="","",진행중!V40)</f>
        <v/>
      </c>
      <c r="E319" s="22">
        <f>IF($A319="","",IF(VLOOKUP($C319,설정!$A$4:$B$12,2,0)=0,진행중!W40,MIN(WORKDAY(진행중!V40,VLOOKUP($C319,설정!$A$4:$B$12,2,0)-1),진행중!W40)))</f>
        <v/>
      </c>
      <c r="F319">
        <f>IF($A319="","",COUNTIF($A$2:$A319,$A319))</f>
        <v/>
      </c>
      <c r="G319">
        <f>IF($A319="","",$A319&amp;"|"&amp;$F319)</f>
        <v/>
      </c>
    </row>
    <row r="320">
      <c r="A320">
        <f>IF(AND(진행중!D40&lt;&gt;"",진행중!V40&lt;&gt;"",진행중!O40&lt;&gt;"",진행중!O40&lt;&gt;"X",진행중!AA40&lt;&gt;"완료"),진행중!O40,"")</f>
        <v/>
      </c>
      <c r="B320">
        <f>IF($A320="","",진행중!D40)</f>
        <v/>
      </c>
      <c r="C320" t="inlineStr">
        <is>
          <t>가설</t>
        </is>
      </c>
      <c r="D320" s="22">
        <f>IF($A320="","",진행중!V40)</f>
        <v/>
      </c>
      <c r="E320" s="22">
        <f>IF($A320="","",IF(VLOOKUP($C320,설정!$A$4:$B$12,2,0)=0,진행중!W40,MIN(WORKDAY(진행중!V40,VLOOKUP($C320,설정!$A$4:$B$12,2,0)-1),진행중!W40)))</f>
        <v/>
      </c>
      <c r="F320">
        <f>IF($A320="","",COUNTIF($A$2:$A320,$A320))</f>
        <v/>
      </c>
      <c r="G320">
        <f>IF($A320="","",$A320&amp;"|"&amp;$F320)</f>
        <v/>
      </c>
    </row>
    <row r="321">
      <c r="A321">
        <f>IF(AND(진행중!D40&lt;&gt;"",진행중!V40&lt;&gt;"",진행중!P40&lt;&gt;"",진행중!P40&lt;&gt;"X",진행중!AA40&lt;&gt;"완료"),진행중!P40,"")</f>
        <v/>
      </c>
      <c r="B321">
        <f>IF($A321="","",진행중!D40)</f>
        <v/>
      </c>
      <c r="C321" t="inlineStr">
        <is>
          <t>세대</t>
        </is>
      </c>
      <c r="D321" s="22">
        <f>IF($A321="","",진행중!V40)</f>
        <v/>
      </c>
      <c r="E321" s="22">
        <f>IF($A321="","",IF(VLOOKUP($C321,설정!$A$4:$B$12,2,0)=0,진행중!W40,MIN(WORKDAY(진행중!V40,VLOOKUP($C321,설정!$A$4:$B$12,2,0)-1),진행중!W40)))</f>
        <v/>
      </c>
      <c r="F321">
        <f>IF($A321="","",COUNTIF($A$2:$A321,$A321))</f>
        <v/>
      </c>
      <c r="G321">
        <f>IF($A321="","",$A321&amp;"|"&amp;$F321)</f>
        <v/>
      </c>
    </row>
    <row r="322">
      <c r="A322">
        <f>IF(AND(진행중!D40&lt;&gt;"",진행중!V40&lt;&gt;"",진행중!Q40&lt;&gt;"",진행중!Q40&lt;&gt;"X",진행중!AA40&lt;&gt;"완료"),진행중!Q40,"")</f>
        <v/>
      </c>
      <c r="B322">
        <f>IF($A322="","",진행중!D40)</f>
        <v/>
      </c>
      <c r="C322" t="inlineStr">
        <is>
          <t>내부</t>
        </is>
      </c>
      <c r="D322" s="22">
        <f>IF($A322="","",진행중!V40)</f>
        <v/>
      </c>
      <c r="E322" s="22">
        <f>IF($A322="","",IF(VLOOKUP($C322,설정!$A$4:$B$12,2,0)=0,진행중!W40,MIN(WORKDAY(진행중!V40,VLOOKUP($C322,설정!$A$4:$B$12,2,0)-1),진행중!W40)))</f>
        <v/>
      </c>
      <c r="F322">
        <f>IF($A322="","",COUNTIF($A$2:$A322,$A322))</f>
        <v/>
      </c>
      <c r="G322">
        <f>IF($A322="","",$A322&amp;"|"&amp;$F322)</f>
        <v/>
      </c>
    </row>
    <row r="323">
      <c r="A323">
        <f>IF(AND(진행중!D40&lt;&gt;"",진행중!V40&lt;&gt;"",진행중!R40&lt;&gt;"",진행중!R40&lt;&gt;"X",진행중!AA40&lt;&gt;"완료"),진행중!R40,"")</f>
        <v/>
      </c>
      <c r="B323">
        <f>IF($A323="","",진행중!D40)</f>
        <v/>
      </c>
      <c r="C323" t="inlineStr">
        <is>
          <t>외부</t>
        </is>
      </c>
      <c r="D323" s="22">
        <f>IF($A323="","",진행중!V40)</f>
        <v/>
      </c>
      <c r="E323" s="22">
        <f>IF($A323="","",IF(VLOOKUP($C323,설정!$A$4:$B$12,2,0)=0,진행중!W40,MIN(WORKDAY(진행중!V40,VLOOKUP($C323,설정!$A$4:$B$12,2,0)-1),진행중!W40)))</f>
        <v/>
      </c>
      <c r="F323">
        <f>IF($A323="","",COUNTIF($A$2:$A323,$A323))</f>
        <v/>
      </c>
      <c r="G323">
        <f>IF($A323="","",$A323&amp;"|"&amp;$F323)</f>
        <v/>
      </c>
    </row>
    <row r="324">
      <c r="A324">
        <f>IF(AND(진행중!D40&lt;&gt;"",진행중!V40&lt;&gt;"",진행중!S40&lt;&gt;"",진행중!S40&lt;&gt;"X",진행중!AA40&lt;&gt;"완료"),진행중!S40,"")</f>
        <v/>
      </c>
      <c r="B324">
        <f>IF($A324="","",진행중!D40)</f>
        <v/>
      </c>
      <c r="C324" t="inlineStr">
        <is>
          <t>창호</t>
        </is>
      </c>
      <c r="D324" s="22">
        <f>IF($A324="","",진행중!V40)</f>
        <v/>
      </c>
      <c r="E324" s="22">
        <f>IF($A324="","",IF(VLOOKUP($C324,설정!$A$4:$B$12,2,0)=0,진행중!W40,MIN(WORKDAY(진행중!V40,VLOOKUP($C324,설정!$A$4:$B$12,2,0)-1),진행중!W40)))</f>
        <v/>
      </c>
      <c r="F324">
        <f>IF($A324="","",COUNTIF($A$2:$A324,$A324))</f>
        <v/>
      </c>
      <c r="G324">
        <f>IF($A324="","",$A324&amp;"|"&amp;$F324)</f>
        <v/>
      </c>
    </row>
    <row r="325">
      <c r="A325">
        <f>IF(AND(진행중!D40&lt;&gt;"",진행중!V40&lt;&gt;"",진행중!T40&lt;&gt;"",진행중!T40&lt;&gt;"X",진행중!AA40&lt;&gt;"완료"),진행중!T40,"")</f>
        <v/>
      </c>
      <c r="B325">
        <f>IF($A325="","",진행중!D40)</f>
        <v/>
      </c>
      <c r="C325" t="inlineStr">
        <is>
          <t>조적</t>
        </is>
      </c>
      <c r="D325" s="22">
        <f>IF($A325="","",진행중!V40)</f>
        <v/>
      </c>
      <c r="E325" s="22">
        <f>IF($A325="","",IF(VLOOKUP($C325,설정!$A$4:$B$12,2,0)=0,진행중!W40,MIN(WORKDAY(진행중!V40,VLOOKUP($C325,설정!$A$4:$B$12,2,0)-1),진행중!W40)))</f>
        <v/>
      </c>
      <c r="F325">
        <f>IF($A325="","",COUNTIF($A$2:$A325,$A325))</f>
        <v/>
      </c>
      <c r="G325">
        <f>IF($A325="","",$A325&amp;"|"&amp;$F325)</f>
        <v/>
      </c>
    </row>
    <row r="326">
      <c r="A326">
        <f>IF(AND(진행중!D41&lt;&gt;"",진행중!V41&lt;&gt;"",진행중!L41&lt;&gt;"",진행중!L41&lt;&gt;"X",진행중!AA41&lt;&gt;"완료"),진행중!L41,"")</f>
        <v/>
      </c>
      <c r="B326">
        <f>IF($A326="","",진행중!D41)</f>
        <v/>
      </c>
      <c r="C326" t="inlineStr">
        <is>
          <t>PM</t>
        </is>
      </c>
      <c r="D326" s="22">
        <f>IF($A326="","",진행중!V41)</f>
        <v/>
      </c>
      <c r="E326" s="22">
        <f>IF($A326="","",IF(VLOOKUP($C326,설정!$A$4:$B$12,2,0)=0,진행중!W41,MIN(WORKDAY(진행중!V41,VLOOKUP($C326,설정!$A$4:$B$12,2,0)-1),진행중!W41)))</f>
        <v/>
      </c>
      <c r="F326">
        <f>IF($A326="","",COUNTIF($A$2:$A326,$A326))</f>
        <v/>
      </c>
      <c r="G326">
        <f>IF($A326="","",$A326&amp;"|"&amp;$F326)</f>
        <v/>
      </c>
    </row>
    <row r="327">
      <c r="A327">
        <f>IF(AND(진행중!D41&lt;&gt;"",진행중!V41&lt;&gt;"",진행중!M41&lt;&gt;"",진행중!M41&lt;&gt;"X",진행중!AA41&lt;&gt;"완료"),진행중!M41,"")</f>
        <v/>
      </c>
      <c r="B327">
        <f>IF($A327="","",진행중!D41)</f>
        <v/>
      </c>
      <c r="C327" t="inlineStr">
        <is>
          <t>검토</t>
        </is>
      </c>
      <c r="D327" s="22">
        <f>IF($A327="","",진행중!V41)</f>
        <v/>
      </c>
      <c r="E327" s="22">
        <f>IF($A327="","",IF(VLOOKUP($C327,설정!$A$4:$B$12,2,0)=0,진행중!W41,MIN(WORKDAY(진행중!V41,VLOOKUP($C327,설정!$A$4:$B$12,2,0)-1),진행중!W41)))</f>
        <v/>
      </c>
      <c r="F327">
        <f>IF($A327="","",COUNTIF($A$2:$A327,$A327))</f>
        <v/>
      </c>
      <c r="G327">
        <f>IF($A327="","",$A327&amp;"|"&amp;$F327)</f>
        <v/>
      </c>
    </row>
    <row r="328">
      <c r="A328">
        <f>IF(AND(진행중!D41&lt;&gt;"",진행중!V41&lt;&gt;"",진행중!N41&lt;&gt;"",진행중!N41&lt;&gt;"X",진행중!AA41&lt;&gt;"완료"),진행중!N41,"")</f>
        <v/>
      </c>
      <c r="B328">
        <f>IF($A328="","",진행중!D41)</f>
        <v/>
      </c>
      <c r="C328" t="inlineStr">
        <is>
          <t>내역</t>
        </is>
      </c>
      <c r="D328" s="22">
        <f>IF($A328="","",진행중!V41)</f>
        <v/>
      </c>
      <c r="E328" s="22">
        <f>IF($A328="","",IF(VLOOKUP($C328,설정!$A$4:$B$12,2,0)=0,진행중!W41,MIN(WORKDAY(진행중!V41,VLOOKUP($C328,설정!$A$4:$B$12,2,0)-1),진행중!W41)))</f>
        <v/>
      </c>
      <c r="F328">
        <f>IF($A328="","",COUNTIF($A$2:$A328,$A328))</f>
        <v/>
      </c>
      <c r="G328">
        <f>IF($A328="","",$A328&amp;"|"&amp;$F328)</f>
        <v/>
      </c>
    </row>
    <row r="329">
      <c r="A329">
        <f>IF(AND(진행중!D41&lt;&gt;"",진행중!V41&lt;&gt;"",진행중!O41&lt;&gt;"",진행중!O41&lt;&gt;"X",진행중!AA41&lt;&gt;"완료"),진행중!O41,"")</f>
        <v/>
      </c>
      <c r="B329">
        <f>IF($A329="","",진행중!D41)</f>
        <v/>
      </c>
      <c r="C329" t="inlineStr">
        <is>
          <t>가설</t>
        </is>
      </c>
      <c r="D329" s="22">
        <f>IF($A329="","",진행중!V41)</f>
        <v/>
      </c>
      <c r="E329" s="22">
        <f>IF($A329="","",IF(VLOOKUP($C329,설정!$A$4:$B$12,2,0)=0,진행중!W41,MIN(WORKDAY(진행중!V41,VLOOKUP($C329,설정!$A$4:$B$12,2,0)-1),진행중!W41)))</f>
        <v/>
      </c>
      <c r="F329">
        <f>IF($A329="","",COUNTIF($A$2:$A329,$A329))</f>
        <v/>
      </c>
      <c r="G329">
        <f>IF($A329="","",$A329&amp;"|"&amp;$F329)</f>
        <v/>
      </c>
    </row>
    <row r="330">
      <c r="A330">
        <f>IF(AND(진행중!D41&lt;&gt;"",진행중!V41&lt;&gt;"",진행중!P41&lt;&gt;"",진행중!P41&lt;&gt;"X",진행중!AA41&lt;&gt;"완료"),진행중!P41,"")</f>
        <v/>
      </c>
      <c r="B330">
        <f>IF($A330="","",진행중!D41)</f>
        <v/>
      </c>
      <c r="C330" t="inlineStr">
        <is>
          <t>세대</t>
        </is>
      </c>
      <c r="D330" s="22">
        <f>IF($A330="","",진행중!V41)</f>
        <v/>
      </c>
      <c r="E330" s="22">
        <f>IF($A330="","",IF(VLOOKUP($C330,설정!$A$4:$B$12,2,0)=0,진행중!W41,MIN(WORKDAY(진행중!V41,VLOOKUP($C330,설정!$A$4:$B$12,2,0)-1),진행중!W41)))</f>
        <v/>
      </c>
      <c r="F330">
        <f>IF($A330="","",COUNTIF($A$2:$A330,$A330))</f>
        <v/>
      </c>
      <c r="G330">
        <f>IF($A330="","",$A330&amp;"|"&amp;$F330)</f>
        <v/>
      </c>
    </row>
    <row r="331">
      <c r="A331">
        <f>IF(AND(진행중!D41&lt;&gt;"",진행중!V41&lt;&gt;"",진행중!Q41&lt;&gt;"",진행중!Q41&lt;&gt;"X",진행중!AA41&lt;&gt;"완료"),진행중!Q41,"")</f>
        <v/>
      </c>
      <c r="B331">
        <f>IF($A331="","",진행중!D41)</f>
        <v/>
      </c>
      <c r="C331" t="inlineStr">
        <is>
          <t>내부</t>
        </is>
      </c>
      <c r="D331" s="22">
        <f>IF($A331="","",진행중!V41)</f>
        <v/>
      </c>
      <c r="E331" s="22">
        <f>IF($A331="","",IF(VLOOKUP($C331,설정!$A$4:$B$12,2,0)=0,진행중!W41,MIN(WORKDAY(진행중!V41,VLOOKUP($C331,설정!$A$4:$B$12,2,0)-1),진행중!W41)))</f>
        <v/>
      </c>
      <c r="F331">
        <f>IF($A331="","",COUNTIF($A$2:$A331,$A331))</f>
        <v/>
      </c>
      <c r="G331">
        <f>IF($A331="","",$A331&amp;"|"&amp;$F331)</f>
        <v/>
      </c>
    </row>
    <row r="332">
      <c r="A332">
        <f>IF(AND(진행중!D41&lt;&gt;"",진행중!V41&lt;&gt;"",진행중!R41&lt;&gt;"",진행중!R41&lt;&gt;"X",진행중!AA41&lt;&gt;"완료"),진행중!R41,"")</f>
        <v/>
      </c>
      <c r="B332">
        <f>IF($A332="","",진행중!D41)</f>
        <v/>
      </c>
      <c r="C332" t="inlineStr">
        <is>
          <t>외부</t>
        </is>
      </c>
      <c r="D332" s="22">
        <f>IF($A332="","",진행중!V41)</f>
        <v/>
      </c>
      <c r="E332" s="22">
        <f>IF($A332="","",IF(VLOOKUP($C332,설정!$A$4:$B$12,2,0)=0,진행중!W41,MIN(WORKDAY(진행중!V41,VLOOKUP($C332,설정!$A$4:$B$12,2,0)-1),진행중!W41)))</f>
        <v/>
      </c>
      <c r="F332">
        <f>IF($A332="","",COUNTIF($A$2:$A332,$A332))</f>
        <v/>
      </c>
      <c r="G332">
        <f>IF($A332="","",$A332&amp;"|"&amp;$F332)</f>
        <v/>
      </c>
    </row>
    <row r="333">
      <c r="A333">
        <f>IF(AND(진행중!D41&lt;&gt;"",진행중!V41&lt;&gt;"",진행중!S41&lt;&gt;"",진행중!S41&lt;&gt;"X",진행중!AA41&lt;&gt;"완료"),진행중!S41,"")</f>
        <v/>
      </c>
      <c r="B333">
        <f>IF($A333="","",진행중!D41)</f>
        <v/>
      </c>
      <c r="C333" t="inlineStr">
        <is>
          <t>창호</t>
        </is>
      </c>
      <c r="D333" s="22">
        <f>IF($A333="","",진행중!V41)</f>
        <v/>
      </c>
      <c r="E333" s="22">
        <f>IF($A333="","",IF(VLOOKUP($C333,설정!$A$4:$B$12,2,0)=0,진행중!W41,MIN(WORKDAY(진행중!V41,VLOOKUP($C333,설정!$A$4:$B$12,2,0)-1),진행중!W41)))</f>
        <v/>
      </c>
      <c r="F333">
        <f>IF($A333="","",COUNTIF($A$2:$A333,$A333))</f>
        <v/>
      </c>
      <c r="G333">
        <f>IF($A333="","",$A333&amp;"|"&amp;$F333)</f>
        <v/>
      </c>
    </row>
    <row r="334">
      <c r="A334">
        <f>IF(AND(진행중!D41&lt;&gt;"",진행중!V41&lt;&gt;"",진행중!T41&lt;&gt;"",진행중!T41&lt;&gt;"X",진행중!AA41&lt;&gt;"완료"),진행중!T41,"")</f>
        <v/>
      </c>
      <c r="B334">
        <f>IF($A334="","",진행중!D41)</f>
        <v/>
      </c>
      <c r="C334" t="inlineStr">
        <is>
          <t>조적</t>
        </is>
      </c>
      <c r="D334" s="22">
        <f>IF($A334="","",진행중!V41)</f>
        <v/>
      </c>
      <c r="E334" s="22">
        <f>IF($A334="","",IF(VLOOKUP($C334,설정!$A$4:$B$12,2,0)=0,진행중!W41,MIN(WORKDAY(진행중!V41,VLOOKUP($C334,설정!$A$4:$B$12,2,0)-1),진행중!W41)))</f>
        <v/>
      </c>
      <c r="F334">
        <f>IF($A334="","",COUNTIF($A$2:$A334,$A334))</f>
        <v/>
      </c>
      <c r="G334">
        <f>IF($A334="","",$A334&amp;"|"&amp;$F334)</f>
        <v/>
      </c>
    </row>
    <row r="335">
      <c r="A335">
        <f>IF(AND(진행중!D42&lt;&gt;"",진행중!V42&lt;&gt;"",진행중!L42&lt;&gt;"",진행중!L42&lt;&gt;"X",진행중!AA42&lt;&gt;"완료"),진행중!L42,"")</f>
        <v/>
      </c>
      <c r="B335">
        <f>IF($A335="","",진행중!D42)</f>
        <v/>
      </c>
      <c r="C335" t="inlineStr">
        <is>
          <t>PM</t>
        </is>
      </c>
      <c r="D335" s="22">
        <f>IF($A335="","",진행중!V42)</f>
        <v/>
      </c>
      <c r="E335" s="22">
        <f>IF($A335="","",IF(VLOOKUP($C335,설정!$A$4:$B$12,2,0)=0,진행중!W42,MIN(WORKDAY(진행중!V42,VLOOKUP($C335,설정!$A$4:$B$12,2,0)-1),진행중!W42)))</f>
        <v/>
      </c>
      <c r="F335">
        <f>IF($A335="","",COUNTIF($A$2:$A335,$A335))</f>
        <v/>
      </c>
      <c r="G335">
        <f>IF($A335="","",$A335&amp;"|"&amp;$F335)</f>
        <v/>
      </c>
    </row>
    <row r="336">
      <c r="A336">
        <f>IF(AND(진행중!D42&lt;&gt;"",진행중!V42&lt;&gt;"",진행중!M42&lt;&gt;"",진행중!M42&lt;&gt;"X",진행중!AA42&lt;&gt;"완료"),진행중!M42,"")</f>
        <v/>
      </c>
      <c r="B336">
        <f>IF($A336="","",진행중!D42)</f>
        <v/>
      </c>
      <c r="C336" t="inlineStr">
        <is>
          <t>검토</t>
        </is>
      </c>
      <c r="D336" s="22">
        <f>IF($A336="","",진행중!V42)</f>
        <v/>
      </c>
      <c r="E336" s="22">
        <f>IF($A336="","",IF(VLOOKUP($C336,설정!$A$4:$B$12,2,0)=0,진행중!W42,MIN(WORKDAY(진행중!V42,VLOOKUP($C336,설정!$A$4:$B$12,2,0)-1),진행중!W42)))</f>
        <v/>
      </c>
      <c r="F336">
        <f>IF($A336="","",COUNTIF($A$2:$A336,$A336))</f>
        <v/>
      </c>
      <c r="G336">
        <f>IF($A336="","",$A336&amp;"|"&amp;$F336)</f>
        <v/>
      </c>
    </row>
    <row r="337">
      <c r="A337">
        <f>IF(AND(진행중!D42&lt;&gt;"",진행중!V42&lt;&gt;"",진행중!N42&lt;&gt;"",진행중!N42&lt;&gt;"X",진행중!AA42&lt;&gt;"완료"),진행중!N42,"")</f>
        <v/>
      </c>
      <c r="B337">
        <f>IF($A337="","",진행중!D42)</f>
        <v/>
      </c>
      <c r="C337" t="inlineStr">
        <is>
          <t>내역</t>
        </is>
      </c>
      <c r="D337" s="22">
        <f>IF($A337="","",진행중!V42)</f>
        <v/>
      </c>
      <c r="E337" s="22">
        <f>IF($A337="","",IF(VLOOKUP($C337,설정!$A$4:$B$12,2,0)=0,진행중!W42,MIN(WORKDAY(진행중!V42,VLOOKUP($C337,설정!$A$4:$B$12,2,0)-1),진행중!W42)))</f>
        <v/>
      </c>
      <c r="F337">
        <f>IF($A337="","",COUNTIF($A$2:$A337,$A337))</f>
        <v/>
      </c>
      <c r="G337">
        <f>IF($A337="","",$A337&amp;"|"&amp;$F337)</f>
        <v/>
      </c>
    </row>
    <row r="338">
      <c r="A338">
        <f>IF(AND(진행중!D42&lt;&gt;"",진행중!V42&lt;&gt;"",진행중!O42&lt;&gt;"",진행중!O42&lt;&gt;"X",진행중!AA42&lt;&gt;"완료"),진행중!O42,"")</f>
        <v/>
      </c>
      <c r="B338">
        <f>IF($A338="","",진행중!D42)</f>
        <v/>
      </c>
      <c r="C338" t="inlineStr">
        <is>
          <t>가설</t>
        </is>
      </c>
      <c r="D338" s="22">
        <f>IF($A338="","",진행중!V42)</f>
        <v/>
      </c>
      <c r="E338" s="22">
        <f>IF($A338="","",IF(VLOOKUP($C338,설정!$A$4:$B$12,2,0)=0,진행중!W42,MIN(WORKDAY(진행중!V42,VLOOKUP($C338,설정!$A$4:$B$12,2,0)-1),진행중!W42)))</f>
        <v/>
      </c>
      <c r="F338">
        <f>IF($A338="","",COUNTIF($A$2:$A338,$A338))</f>
        <v/>
      </c>
      <c r="G338">
        <f>IF($A338="","",$A338&amp;"|"&amp;$F338)</f>
        <v/>
      </c>
    </row>
    <row r="339">
      <c r="A339">
        <f>IF(AND(진행중!D42&lt;&gt;"",진행중!V42&lt;&gt;"",진행중!P42&lt;&gt;"",진행중!P42&lt;&gt;"X",진행중!AA42&lt;&gt;"완료"),진행중!P42,"")</f>
        <v/>
      </c>
      <c r="B339">
        <f>IF($A339="","",진행중!D42)</f>
        <v/>
      </c>
      <c r="C339" t="inlineStr">
        <is>
          <t>세대</t>
        </is>
      </c>
      <c r="D339" s="22">
        <f>IF($A339="","",진행중!V42)</f>
        <v/>
      </c>
      <c r="E339" s="22">
        <f>IF($A339="","",IF(VLOOKUP($C339,설정!$A$4:$B$12,2,0)=0,진행중!W42,MIN(WORKDAY(진행중!V42,VLOOKUP($C339,설정!$A$4:$B$12,2,0)-1),진행중!W42)))</f>
        <v/>
      </c>
      <c r="F339">
        <f>IF($A339="","",COUNTIF($A$2:$A339,$A339))</f>
        <v/>
      </c>
      <c r="G339">
        <f>IF($A339="","",$A339&amp;"|"&amp;$F339)</f>
        <v/>
      </c>
    </row>
    <row r="340">
      <c r="A340">
        <f>IF(AND(진행중!D42&lt;&gt;"",진행중!V42&lt;&gt;"",진행중!Q42&lt;&gt;"",진행중!Q42&lt;&gt;"X",진행중!AA42&lt;&gt;"완료"),진행중!Q42,"")</f>
        <v/>
      </c>
      <c r="B340">
        <f>IF($A340="","",진행중!D42)</f>
        <v/>
      </c>
      <c r="C340" t="inlineStr">
        <is>
          <t>내부</t>
        </is>
      </c>
      <c r="D340" s="22">
        <f>IF($A340="","",진행중!V42)</f>
        <v/>
      </c>
      <c r="E340" s="22">
        <f>IF($A340="","",IF(VLOOKUP($C340,설정!$A$4:$B$12,2,0)=0,진행중!W42,MIN(WORKDAY(진행중!V42,VLOOKUP($C340,설정!$A$4:$B$12,2,0)-1),진행중!W42)))</f>
        <v/>
      </c>
      <c r="F340">
        <f>IF($A340="","",COUNTIF($A$2:$A340,$A340))</f>
        <v/>
      </c>
      <c r="G340">
        <f>IF($A340="","",$A340&amp;"|"&amp;$F340)</f>
        <v/>
      </c>
    </row>
    <row r="341">
      <c r="A341">
        <f>IF(AND(진행중!D42&lt;&gt;"",진행중!V42&lt;&gt;"",진행중!R42&lt;&gt;"",진행중!R42&lt;&gt;"X",진행중!AA42&lt;&gt;"완료"),진행중!R42,"")</f>
        <v/>
      </c>
      <c r="B341">
        <f>IF($A341="","",진행중!D42)</f>
        <v/>
      </c>
      <c r="C341" t="inlineStr">
        <is>
          <t>외부</t>
        </is>
      </c>
      <c r="D341" s="22">
        <f>IF($A341="","",진행중!V42)</f>
        <v/>
      </c>
      <c r="E341" s="22">
        <f>IF($A341="","",IF(VLOOKUP($C341,설정!$A$4:$B$12,2,0)=0,진행중!W42,MIN(WORKDAY(진행중!V42,VLOOKUP($C341,설정!$A$4:$B$12,2,0)-1),진행중!W42)))</f>
        <v/>
      </c>
      <c r="F341">
        <f>IF($A341="","",COUNTIF($A$2:$A341,$A341))</f>
        <v/>
      </c>
      <c r="G341">
        <f>IF($A341="","",$A341&amp;"|"&amp;$F341)</f>
        <v/>
      </c>
    </row>
    <row r="342">
      <c r="A342">
        <f>IF(AND(진행중!D42&lt;&gt;"",진행중!V42&lt;&gt;"",진행중!S42&lt;&gt;"",진행중!S42&lt;&gt;"X",진행중!AA42&lt;&gt;"완료"),진행중!S42,"")</f>
        <v/>
      </c>
      <c r="B342">
        <f>IF($A342="","",진행중!D42)</f>
        <v/>
      </c>
      <c r="C342" t="inlineStr">
        <is>
          <t>창호</t>
        </is>
      </c>
      <c r="D342" s="22">
        <f>IF($A342="","",진행중!V42)</f>
        <v/>
      </c>
      <c r="E342" s="22">
        <f>IF($A342="","",IF(VLOOKUP($C342,설정!$A$4:$B$12,2,0)=0,진행중!W42,MIN(WORKDAY(진행중!V42,VLOOKUP($C342,설정!$A$4:$B$12,2,0)-1),진행중!W42)))</f>
        <v/>
      </c>
      <c r="F342">
        <f>IF($A342="","",COUNTIF($A$2:$A342,$A342))</f>
        <v/>
      </c>
      <c r="G342">
        <f>IF($A342="","",$A342&amp;"|"&amp;$F342)</f>
        <v/>
      </c>
    </row>
    <row r="343">
      <c r="A343">
        <f>IF(AND(진행중!D42&lt;&gt;"",진행중!V42&lt;&gt;"",진행중!T42&lt;&gt;"",진행중!T42&lt;&gt;"X",진행중!AA42&lt;&gt;"완료"),진행중!T42,"")</f>
        <v/>
      </c>
      <c r="B343">
        <f>IF($A343="","",진행중!D42)</f>
        <v/>
      </c>
      <c r="C343" t="inlineStr">
        <is>
          <t>조적</t>
        </is>
      </c>
      <c r="D343" s="22">
        <f>IF($A343="","",진행중!V42)</f>
        <v/>
      </c>
      <c r="E343" s="22">
        <f>IF($A343="","",IF(VLOOKUP($C343,설정!$A$4:$B$12,2,0)=0,진행중!W42,MIN(WORKDAY(진행중!V42,VLOOKUP($C343,설정!$A$4:$B$12,2,0)-1),진행중!W42)))</f>
        <v/>
      </c>
      <c r="F343">
        <f>IF($A343="","",COUNTIF($A$2:$A343,$A343))</f>
        <v/>
      </c>
      <c r="G343">
        <f>IF($A343="","",$A343&amp;"|"&amp;$F343)</f>
        <v/>
      </c>
    </row>
    <row r="344">
      <c r="A344">
        <f>IF(AND(진행중!D43&lt;&gt;"",진행중!V43&lt;&gt;"",진행중!L43&lt;&gt;"",진행중!L43&lt;&gt;"X",진행중!AA43&lt;&gt;"완료"),진행중!L43,"")</f>
        <v/>
      </c>
      <c r="B344">
        <f>IF($A344="","",진행중!D43)</f>
        <v/>
      </c>
      <c r="C344" t="inlineStr">
        <is>
          <t>PM</t>
        </is>
      </c>
      <c r="D344" s="22">
        <f>IF($A344="","",진행중!V43)</f>
        <v/>
      </c>
      <c r="E344" s="22">
        <f>IF($A344="","",IF(VLOOKUP($C344,설정!$A$4:$B$12,2,0)=0,진행중!W43,MIN(WORKDAY(진행중!V43,VLOOKUP($C344,설정!$A$4:$B$12,2,0)-1),진행중!W43)))</f>
        <v/>
      </c>
      <c r="F344">
        <f>IF($A344="","",COUNTIF($A$2:$A344,$A344))</f>
        <v/>
      </c>
      <c r="G344">
        <f>IF($A344="","",$A344&amp;"|"&amp;$F344)</f>
        <v/>
      </c>
    </row>
    <row r="345">
      <c r="A345">
        <f>IF(AND(진행중!D43&lt;&gt;"",진행중!V43&lt;&gt;"",진행중!M43&lt;&gt;"",진행중!M43&lt;&gt;"X",진행중!AA43&lt;&gt;"완료"),진행중!M43,"")</f>
        <v/>
      </c>
      <c r="B345">
        <f>IF($A345="","",진행중!D43)</f>
        <v/>
      </c>
      <c r="C345" t="inlineStr">
        <is>
          <t>검토</t>
        </is>
      </c>
      <c r="D345" s="22">
        <f>IF($A345="","",진행중!V43)</f>
        <v/>
      </c>
      <c r="E345" s="22">
        <f>IF($A345="","",IF(VLOOKUP($C345,설정!$A$4:$B$12,2,0)=0,진행중!W43,MIN(WORKDAY(진행중!V43,VLOOKUP($C345,설정!$A$4:$B$12,2,0)-1),진행중!W43)))</f>
        <v/>
      </c>
      <c r="F345">
        <f>IF($A345="","",COUNTIF($A$2:$A345,$A345))</f>
        <v/>
      </c>
      <c r="G345">
        <f>IF($A345="","",$A345&amp;"|"&amp;$F345)</f>
        <v/>
      </c>
    </row>
    <row r="346">
      <c r="A346">
        <f>IF(AND(진행중!D43&lt;&gt;"",진행중!V43&lt;&gt;"",진행중!N43&lt;&gt;"",진행중!N43&lt;&gt;"X",진행중!AA43&lt;&gt;"완료"),진행중!N43,"")</f>
        <v/>
      </c>
      <c r="B346">
        <f>IF($A346="","",진행중!D43)</f>
        <v/>
      </c>
      <c r="C346" t="inlineStr">
        <is>
          <t>내역</t>
        </is>
      </c>
      <c r="D346" s="22">
        <f>IF($A346="","",진행중!V43)</f>
        <v/>
      </c>
      <c r="E346" s="22">
        <f>IF($A346="","",IF(VLOOKUP($C346,설정!$A$4:$B$12,2,0)=0,진행중!W43,MIN(WORKDAY(진행중!V43,VLOOKUP($C346,설정!$A$4:$B$12,2,0)-1),진행중!W43)))</f>
        <v/>
      </c>
      <c r="F346">
        <f>IF($A346="","",COUNTIF($A$2:$A346,$A346))</f>
        <v/>
      </c>
      <c r="G346">
        <f>IF($A346="","",$A346&amp;"|"&amp;$F346)</f>
        <v/>
      </c>
    </row>
    <row r="347">
      <c r="A347">
        <f>IF(AND(진행중!D43&lt;&gt;"",진행중!V43&lt;&gt;"",진행중!O43&lt;&gt;"",진행중!O43&lt;&gt;"X",진행중!AA43&lt;&gt;"완료"),진행중!O43,"")</f>
        <v/>
      </c>
      <c r="B347">
        <f>IF($A347="","",진행중!D43)</f>
        <v/>
      </c>
      <c r="C347" t="inlineStr">
        <is>
          <t>가설</t>
        </is>
      </c>
      <c r="D347" s="22">
        <f>IF($A347="","",진행중!V43)</f>
        <v/>
      </c>
      <c r="E347" s="22">
        <f>IF($A347="","",IF(VLOOKUP($C347,설정!$A$4:$B$12,2,0)=0,진행중!W43,MIN(WORKDAY(진행중!V43,VLOOKUP($C347,설정!$A$4:$B$12,2,0)-1),진행중!W43)))</f>
        <v/>
      </c>
      <c r="F347">
        <f>IF($A347="","",COUNTIF($A$2:$A347,$A347))</f>
        <v/>
      </c>
      <c r="G347">
        <f>IF($A347="","",$A347&amp;"|"&amp;$F347)</f>
        <v/>
      </c>
    </row>
    <row r="348">
      <c r="A348">
        <f>IF(AND(진행중!D43&lt;&gt;"",진행중!V43&lt;&gt;"",진행중!P43&lt;&gt;"",진행중!P43&lt;&gt;"X",진행중!AA43&lt;&gt;"완료"),진행중!P43,"")</f>
        <v/>
      </c>
      <c r="B348">
        <f>IF($A348="","",진행중!D43)</f>
        <v/>
      </c>
      <c r="C348" t="inlineStr">
        <is>
          <t>세대</t>
        </is>
      </c>
      <c r="D348" s="22">
        <f>IF($A348="","",진행중!V43)</f>
        <v/>
      </c>
      <c r="E348" s="22">
        <f>IF($A348="","",IF(VLOOKUP($C348,설정!$A$4:$B$12,2,0)=0,진행중!W43,MIN(WORKDAY(진행중!V43,VLOOKUP($C348,설정!$A$4:$B$12,2,0)-1),진행중!W43)))</f>
        <v/>
      </c>
      <c r="F348">
        <f>IF($A348="","",COUNTIF($A$2:$A348,$A348))</f>
        <v/>
      </c>
      <c r="G348">
        <f>IF($A348="","",$A348&amp;"|"&amp;$F348)</f>
        <v/>
      </c>
    </row>
    <row r="349">
      <c r="A349">
        <f>IF(AND(진행중!D43&lt;&gt;"",진행중!V43&lt;&gt;"",진행중!Q43&lt;&gt;"",진행중!Q43&lt;&gt;"X",진행중!AA43&lt;&gt;"완료"),진행중!Q43,"")</f>
        <v/>
      </c>
      <c r="B349">
        <f>IF($A349="","",진행중!D43)</f>
        <v/>
      </c>
      <c r="C349" t="inlineStr">
        <is>
          <t>내부</t>
        </is>
      </c>
      <c r="D349" s="22">
        <f>IF($A349="","",진행중!V43)</f>
        <v/>
      </c>
      <c r="E349" s="22">
        <f>IF($A349="","",IF(VLOOKUP($C349,설정!$A$4:$B$12,2,0)=0,진행중!W43,MIN(WORKDAY(진행중!V43,VLOOKUP($C349,설정!$A$4:$B$12,2,0)-1),진행중!W43)))</f>
        <v/>
      </c>
      <c r="F349">
        <f>IF($A349="","",COUNTIF($A$2:$A349,$A349))</f>
        <v/>
      </c>
      <c r="G349">
        <f>IF($A349="","",$A349&amp;"|"&amp;$F349)</f>
        <v/>
      </c>
    </row>
    <row r="350">
      <c r="A350">
        <f>IF(AND(진행중!D43&lt;&gt;"",진행중!V43&lt;&gt;"",진행중!R43&lt;&gt;"",진행중!R43&lt;&gt;"X",진행중!AA43&lt;&gt;"완료"),진행중!R43,"")</f>
        <v/>
      </c>
      <c r="B350">
        <f>IF($A350="","",진행중!D43)</f>
        <v/>
      </c>
      <c r="C350" t="inlineStr">
        <is>
          <t>외부</t>
        </is>
      </c>
      <c r="D350" s="22">
        <f>IF($A350="","",진행중!V43)</f>
        <v/>
      </c>
      <c r="E350" s="22">
        <f>IF($A350="","",IF(VLOOKUP($C350,설정!$A$4:$B$12,2,0)=0,진행중!W43,MIN(WORKDAY(진행중!V43,VLOOKUP($C350,설정!$A$4:$B$12,2,0)-1),진행중!W43)))</f>
        <v/>
      </c>
      <c r="F350">
        <f>IF($A350="","",COUNTIF($A$2:$A350,$A350))</f>
        <v/>
      </c>
      <c r="G350">
        <f>IF($A350="","",$A350&amp;"|"&amp;$F350)</f>
        <v/>
      </c>
    </row>
    <row r="351">
      <c r="A351">
        <f>IF(AND(진행중!D43&lt;&gt;"",진행중!V43&lt;&gt;"",진행중!S43&lt;&gt;"",진행중!S43&lt;&gt;"X",진행중!AA43&lt;&gt;"완료"),진행중!S43,"")</f>
        <v/>
      </c>
      <c r="B351">
        <f>IF($A351="","",진행중!D43)</f>
        <v/>
      </c>
      <c r="C351" t="inlineStr">
        <is>
          <t>창호</t>
        </is>
      </c>
      <c r="D351" s="22">
        <f>IF($A351="","",진행중!V43)</f>
        <v/>
      </c>
      <c r="E351" s="22">
        <f>IF($A351="","",IF(VLOOKUP($C351,설정!$A$4:$B$12,2,0)=0,진행중!W43,MIN(WORKDAY(진행중!V43,VLOOKUP($C351,설정!$A$4:$B$12,2,0)-1),진행중!W43)))</f>
        <v/>
      </c>
      <c r="F351">
        <f>IF($A351="","",COUNTIF($A$2:$A351,$A351))</f>
        <v/>
      </c>
      <c r="G351">
        <f>IF($A351="","",$A351&amp;"|"&amp;$F351)</f>
        <v/>
      </c>
    </row>
    <row r="352">
      <c r="A352">
        <f>IF(AND(진행중!D43&lt;&gt;"",진행중!V43&lt;&gt;"",진행중!T43&lt;&gt;"",진행중!T43&lt;&gt;"X",진행중!AA43&lt;&gt;"완료"),진행중!T43,"")</f>
        <v/>
      </c>
      <c r="B352">
        <f>IF($A352="","",진행중!D43)</f>
        <v/>
      </c>
      <c r="C352" t="inlineStr">
        <is>
          <t>조적</t>
        </is>
      </c>
      <c r="D352" s="22">
        <f>IF($A352="","",진행중!V43)</f>
        <v/>
      </c>
      <c r="E352" s="22">
        <f>IF($A352="","",IF(VLOOKUP($C352,설정!$A$4:$B$12,2,0)=0,진행중!W43,MIN(WORKDAY(진행중!V43,VLOOKUP($C352,설정!$A$4:$B$12,2,0)-1),진행중!W43)))</f>
        <v/>
      </c>
      <c r="F352">
        <f>IF($A352="","",COUNTIF($A$2:$A352,$A352))</f>
        <v/>
      </c>
      <c r="G352">
        <f>IF($A352="","",$A352&amp;"|"&amp;$F352)</f>
        <v/>
      </c>
    </row>
    <row r="353">
      <c r="A353">
        <f>IF(AND(진행중!D44&lt;&gt;"",진행중!V44&lt;&gt;"",진행중!L44&lt;&gt;"",진행중!L44&lt;&gt;"X",진행중!AA44&lt;&gt;"완료"),진행중!L44,"")</f>
        <v/>
      </c>
      <c r="B353">
        <f>IF($A353="","",진행중!D44)</f>
        <v/>
      </c>
      <c r="C353" t="inlineStr">
        <is>
          <t>PM</t>
        </is>
      </c>
      <c r="D353" s="22">
        <f>IF($A353="","",진행중!V44)</f>
        <v/>
      </c>
      <c r="E353" s="22">
        <f>IF($A353="","",IF(VLOOKUP($C353,설정!$A$4:$B$12,2,0)=0,진행중!W44,MIN(WORKDAY(진행중!V44,VLOOKUP($C353,설정!$A$4:$B$12,2,0)-1),진행중!W44)))</f>
        <v/>
      </c>
      <c r="F353">
        <f>IF($A353="","",COUNTIF($A$2:$A353,$A353))</f>
        <v/>
      </c>
      <c r="G353">
        <f>IF($A353="","",$A353&amp;"|"&amp;$F353)</f>
        <v/>
      </c>
    </row>
    <row r="354">
      <c r="A354">
        <f>IF(AND(진행중!D44&lt;&gt;"",진행중!V44&lt;&gt;"",진행중!M44&lt;&gt;"",진행중!M44&lt;&gt;"X",진행중!AA44&lt;&gt;"완료"),진행중!M44,"")</f>
        <v/>
      </c>
      <c r="B354">
        <f>IF($A354="","",진행중!D44)</f>
        <v/>
      </c>
      <c r="C354" t="inlineStr">
        <is>
          <t>검토</t>
        </is>
      </c>
      <c r="D354" s="22">
        <f>IF($A354="","",진행중!V44)</f>
        <v/>
      </c>
      <c r="E354" s="22">
        <f>IF($A354="","",IF(VLOOKUP($C354,설정!$A$4:$B$12,2,0)=0,진행중!W44,MIN(WORKDAY(진행중!V44,VLOOKUP($C354,설정!$A$4:$B$12,2,0)-1),진행중!W44)))</f>
        <v/>
      </c>
      <c r="F354">
        <f>IF($A354="","",COUNTIF($A$2:$A354,$A354))</f>
        <v/>
      </c>
      <c r="G354">
        <f>IF($A354="","",$A354&amp;"|"&amp;$F354)</f>
        <v/>
      </c>
    </row>
    <row r="355">
      <c r="A355">
        <f>IF(AND(진행중!D44&lt;&gt;"",진행중!V44&lt;&gt;"",진행중!N44&lt;&gt;"",진행중!N44&lt;&gt;"X",진행중!AA44&lt;&gt;"완료"),진행중!N44,"")</f>
        <v/>
      </c>
      <c r="B355">
        <f>IF($A355="","",진행중!D44)</f>
        <v/>
      </c>
      <c r="C355" t="inlineStr">
        <is>
          <t>내역</t>
        </is>
      </c>
      <c r="D355" s="22">
        <f>IF($A355="","",진행중!V44)</f>
        <v/>
      </c>
      <c r="E355" s="22">
        <f>IF($A355="","",IF(VLOOKUP($C355,설정!$A$4:$B$12,2,0)=0,진행중!W44,MIN(WORKDAY(진행중!V44,VLOOKUP($C355,설정!$A$4:$B$12,2,0)-1),진행중!W44)))</f>
        <v/>
      </c>
      <c r="F355">
        <f>IF($A355="","",COUNTIF($A$2:$A355,$A355))</f>
        <v/>
      </c>
      <c r="G355">
        <f>IF($A355="","",$A355&amp;"|"&amp;$F355)</f>
        <v/>
      </c>
    </row>
    <row r="356">
      <c r="A356">
        <f>IF(AND(진행중!D44&lt;&gt;"",진행중!V44&lt;&gt;"",진행중!O44&lt;&gt;"",진행중!O44&lt;&gt;"X",진행중!AA44&lt;&gt;"완료"),진행중!O44,"")</f>
        <v/>
      </c>
      <c r="B356">
        <f>IF($A356="","",진행중!D44)</f>
        <v/>
      </c>
      <c r="C356" t="inlineStr">
        <is>
          <t>가설</t>
        </is>
      </c>
      <c r="D356" s="22">
        <f>IF($A356="","",진행중!V44)</f>
        <v/>
      </c>
      <c r="E356" s="22">
        <f>IF($A356="","",IF(VLOOKUP($C356,설정!$A$4:$B$12,2,0)=0,진행중!W44,MIN(WORKDAY(진행중!V44,VLOOKUP($C356,설정!$A$4:$B$12,2,0)-1),진행중!W44)))</f>
        <v/>
      </c>
      <c r="F356">
        <f>IF($A356="","",COUNTIF($A$2:$A356,$A356))</f>
        <v/>
      </c>
      <c r="G356">
        <f>IF($A356="","",$A356&amp;"|"&amp;$F356)</f>
        <v/>
      </c>
    </row>
    <row r="357">
      <c r="A357">
        <f>IF(AND(진행중!D44&lt;&gt;"",진행중!V44&lt;&gt;"",진행중!P44&lt;&gt;"",진행중!P44&lt;&gt;"X",진행중!AA44&lt;&gt;"완료"),진행중!P44,"")</f>
        <v/>
      </c>
      <c r="B357">
        <f>IF($A357="","",진행중!D44)</f>
        <v/>
      </c>
      <c r="C357" t="inlineStr">
        <is>
          <t>세대</t>
        </is>
      </c>
      <c r="D357" s="22">
        <f>IF($A357="","",진행중!V44)</f>
        <v/>
      </c>
      <c r="E357" s="22">
        <f>IF($A357="","",IF(VLOOKUP($C357,설정!$A$4:$B$12,2,0)=0,진행중!W44,MIN(WORKDAY(진행중!V44,VLOOKUP($C357,설정!$A$4:$B$12,2,0)-1),진행중!W44)))</f>
        <v/>
      </c>
      <c r="F357">
        <f>IF($A357="","",COUNTIF($A$2:$A357,$A357))</f>
        <v/>
      </c>
      <c r="G357">
        <f>IF($A357="","",$A357&amp;"|"&amp;$F357)</f>
        <v/>
      </c>
    </row>
    <row r="358">
      <c r="A358">
        <f>IF(AND(진행중!D44&lt;&gt;"",진행중!V44&lt;&gt;"",진행중!Q44&lt;&gt;"",진행중!Q44&lt;&gt;"X",진행중!AA44&lt;&gt;"완료"),진행중!Q44,"")</f>
        <v/>
      </c>
      <c r="B358">
        <f>IF($A358="","",진행중!D44)</f>
        <v/>
      </c>
      <c r="C358" t="inlineStr">
        <is>
          <t>내부</t>
        </is>
      </c>
      <c r="D358" s="22">
        <f>IF($A358="","",진행중!V44)</f>
        <v/>
      </c>
      <c r="E358" s="22">
        <f>IF($A358="","",IF(VLOOKUP($C358,설정!$A$4:$B$12,2,0)=0,진행중!W44,MIN(WORKDAY(진행중!V44,VLOOKUP($C358,설정!$A$4:$B$12,2,0)-1),진행중!W44)))</f>
        <v/>
      </c>
      <c r="F358">
        <f>IF($A358="","",COUNTIF($A$2:$A358,$A358))</f>
        <v/>
      </c>
      <c r="G358">
        <f>IF($A358="","",$A358&amp;"|"&amp;$F358)</f>
        <v/>
      </c>
    </row>
    <row r="359">
      <c r="A359">
        <f>IF(AND(진행중!D44&lt;&gt;"",진행중!V44&lt;&gt;"",진행중!R44&lt;&gt;"",진행중!R44&lt;&gt;"X",진행중!AA44&lt;&gt;"완료"),진행중!R44,"")</f>
        <v/>
      </c>
      <c r="B359">
        <f>IF($A359="","",진행중!D44)</f>
        <v/>
      </c>
      <c r="C359" t="inlineStr">
        <is>
          <t>외부</t>
        </is>
      </c>
      <c r="D359" s="22">
        <f>IF($A359="","",진행중!V44)</f>
        <v/>
      </c>
      <c r="E359" s="22">
        <f>IF($A359="","",IF(VLOOKUP($C359,설정!$A$4:$B$12,2,0)=0,진행중!W44,MIN(WORKDAY(진행중!V44,VLOOKUP($C359,설정!$A$4:$B$12,2,0)-1),진행중!W44)))</f>
        <v/>
      </c>
      <c r="F359">
        <f>IF($A359="","",COUNTIF($A$2:$A359,$A359))</f>
        <v/>
      </c>
      <c r="G359">
        <f>IF($A359="","",$A359&amp;"|"&amp;$F359)</f>
        <v/>
      </c>
    </row>
    <row r="360">
      <c r="A360">
        <f>IF(AND(진행중!D44&lt;&gt;"",진행중!V44&lt;&gt;"",진행중!S44&lt;&gt;"",진행중!S44&lt;&gt;"X",진행중!AA44&lt;&gt;"완료"),진행중!S44,"")</f>
        <v/>
      </c>
      <c r="B360">
        <f>IF($A360="","",진행중!D44)</f>
        <v/>
      </c>
      <c r="C360" t="inlineStr">
        <is>
          <t>창호</t>
        </is>
      </c>
      <c r="D360" s="22">
        <f>IF($A360="","",진행중!V44)</f>
        <v/>
      </c>
      <c r="E360" s="22">
        <f>IF($A360="","",IF(VLOOKUP($C360,설정!$A$4:$B$12,2,0)=0,진행중!W44,MIN(WORKDAY(진행중!V44,VLOOKUP($C360,설정!$A$4:$B$12,2,0)-1),진행중!W44)))</f>
        <v/>
      </c>
      <c r="F360">
        <f>IF($A360="","",COUNTIF($A$2:$A360,$A360))</f>
        <v/>
      </c>
      <c r="G360">
        <f>IF($A360="","",$A360&amp;"|"&amp;$F360)</f>
        <v/>
      </c>
    </row>
    <row r="361">
      <c r="A361">
        <f>IF(AND(진행중!D44&lt;&gt;"",진행중!V44&lt;&gt;"",진행중!T44&lt;&gt;"",진행중!T44&lt;&gt;"X",진행중!AA44&lt;&gt;"완료"),진행중!T44,"")</f>
        <v/>
      </c>
      <c r="B361">
        <f>IF($A361="","",진행중!D44)</f>
        <v/>
      </c>
      <c r="C361" t="inlineStr">
        <is>
          <t>조적</t>
        </is>
      </c>
      <c r="D361" s="22">
        <f>IF($A361="","",진행중!V44)</f>
        <v/>
      </c>
      <c r="E361" s="22">
        <f>IF($A361="","",IF(VLOOKUP($C361,설정!$A$4:$B$12,2,0)=0,진행중!W44,MIN(WORKDAY(진행중!V44,VLOOKUP($C361,설정!$A$4:$B$12,2,0)-1),진행중!W44)))</f>
        <v/>
      </c>
      <c r="F361">
        <f>IF($A361="","",COUNTIF($A$2:$A361,$A361))</f>
        <v/>
      </c>
      <c r="G361">
        <f>IF($A361="","",$A361&amp;"|"&amp;$F361)</f>
        <v/>
      </c>
    </row>
    <row r="362">
      <c r="A362">
        <f>IF(AND(진행중!D45&lt;&gt;"",진행중!V45&lt;&gt;"",진행중!L45&lt;&gt;"",진행중!L45&lt;&gt;"X",진행중!AA45&lt;&gt;"완료"),진행중!L45,"")</f>
        <v/>
      </c>
      <c r="B362">
        <f>IF($A362="","",진행중!D45)</f>
        <v/>
      </c>
      <c r="C362" t="inlineStr">
        <is>
          <t>PM</t>
        </is>
      </c>
      <c r="D362" s="22">
        <f>IF($A362="","",진행중!V45)</f>
        <v/>
      </c>
      <c r="E362" s="22">
        <f>IF($A362="","",IF(VLOOKUP($C362,설정!$A$4:$B$12,2,0)=0,진행중!W45,MIN(WORKDAY(진행중!V45,VLOOKUP($C362,설정!$A$4:$B$12,2,0)-1),진행중!W45)))</f>
        <v/>
      </c>
      <c r="F362">
        <f>IF($A362="","",COUNTIF($A$2:$A362,$A362))</f>
        <v/>
      </c>
      <c r="G362">
        <f>IF($A362="","",$A362&amp;"|"&amp;$F362)</f>
        <v/>
      </c>
    </row>
    <row r="363">
      <c r="A363">
        <f>IF(AND(진행중!D45&lt;&gt;"",진행중!V45&lt;&gt;"",진행중!M45&lt;&gt;"",진행중!M45&lt;&gt;"X",진행중!AA45&lt;&gt;"완료"),진행중!M45,"")</f>
        <v/>
      </c>
      <c r="B363">
        <f>IF($A363="","",진행중!D45)</f>
        <v/>
      </c>
      <c r="C363" t="inlineStr">
        <is>
          <t>검토</t>
        </is>
      </c>
      <c r="D363" s="22">
        <f>IF($A363="","",진행중!V45)</f>
        <v/>
      </c>
      <c r="E363" s="22">
        <f>IF($A363="","",IF(VLOOKUP($C363,설정!$A$4:$B$12,2,0)=0,진행중!W45,MIN(WORKDAY(진행중!V45,VLOOKUP($C363,설정!$A$4:$B$12,2,0)-1),진행중!W45)))</f>
        <v/>
      </c>
      <c r="F363">
        <f>IF($A363="","",COUNTIF($A$2:$A363,$A363))</f>
        <v/>
      </c>
      <c r="G363">
        <f>IF($A363="","",$A363&amp;"|"&amp;$F363)</f>
        <v/>
      </c>
    </row>
    <row r="364">
      <c r="A364">
        <f>IF(AND(진행중!D45&lt;&gt;"",진행중!V45&lt;&gt;"",진행중!N45&lt;&gt;"",진행중!N45&lt;&gt;"X",진행중!AA45&lt;&gt;"완료"),진행중!N45,"")</f>
        <v/>
      </c>
      <c r="B364">
        <f>IF($A364="","",진행중!D45)</f>
        <v/>
      </c>
      <c r="C364" t="inlineStr">
        <is>
          <t>내역</t>
        </is>
      </c>
      <c r="D364" s="22">
        <f>IF($A364="","",진행중!V45)</f>
        <v/>
      </c>
      <c r="E364" s="22">
        <f>IF($A364="","",IF(VLOOKUP($C364,설정!$A$4:$B$12,2,0)=0,진행중!W45,MIN(WORKDAY(진행중!V45,VLOOKUP($C364,설정!$A$4:$B$12,2,0)-1),진행중!W45)))</f>
        <v/>
      </c>
      <c r="F364">
        <f>IF($A364="","",COUNTIF($A$2:$A364,$A364))</f>
        <v/>
      </c>
      <c r="G364">
        <f>IF($A364="","",$A364&amp;"|"&amp;$F364)</f>
        <v/>
      </c>
    </row>
    <row r="365">
      <c r="A365">
        <f>IF(AND(진행중!D45&lt;&gt;"",진행중!V45&lt;&gt;"",진행중!O45&lt;&gt;"",진행중!O45&lt;&gt;"X",진행중!AA45&lt;&gt;"완료"),진행중!O45,"")</f>
        <v/>
      </c>
      <c r="B365">
        <f>IF($A365="","",진행중!D45)</f>
        <v/>
      </c>
      <c r="C365" t="inlineStr">
        <is>
          <t>가설</t>
        </is>
      </c>
      <c r="D365" s="22">
        <f>IF($A365="","",진행중!V45)</f>
        <v/>
      </c>
      <c r="E365" s="22">
        <f>IF($A365="","",IF(VLOOKUP($C365,설정!$A$4:$B$12,2,0)=0,진행중!W45,MIN(WORKDAY(진행중!V45,VLOOKUP($C365,설정!$A$4:$B$12,2,0)-1),진행중!W45)))</f>
        <v/>
      </c>
      <c r="F365">
        <f>IF($A365="","",COUNTIF($A$2:$A365,$A365))</f>
        <v/>
      </c>
      <c r="G365">
        <f>IF($A365="","",$A365&amp;"|"&amp;$F365)</f>
        <v/>
      </c>
    </row>
    <row r="366">
      <c r="A366">
        <f>IF(AND(진행중!D45&lt;&gt;"",진행중!V45&lt;&gt;"",진행중!P45&lt;&gt;"",진행중!P45&lt;&gt;"X",진행중!AA45&lt;&gt;"완료"),진행중!P45,"")</f>
        <v/>
      </c>
      <c r="B366">
        <f>IF($A366="","",진행중!D45)</f>
        <v/>
      </c>
      <c r="C366" t="inlineStr">
        <is>
          <t>세대</t>
        </is>
      </c>
      <c r="D366" s="22">
        <f>IF($A366="","",진행중!V45)</f>
        <v/>
      </c>
      <c r="E366" s="22">
        <f>IF($A366="","",IF(VLOOKUP($C366,설정!$A$4:$B$12,2,0)=0,진행중!W45,MIN(WORKDAY(진행중!V45,VLOOKUP($C366,설정!$A$4:$B$12,2,0)-1),진행중!W45)))</f>
        <v/>
      </c>
      <c r="F366">
        <f>IF($A366="","",COUNTIF($A$2:$A366,$A366))</f>
        <v/>
      </c>
      <c r="G366">
        <f>IF($A366="","",$A366&amp;"|"&amp;$F366)</f>
        <v/>
      </c>
    </row>
    <row r="367">
      <c r="A367">
        <f>IF(AND(진행중!D45&lt;&gt;"",진행중!V45&lt;&gt;"",진행중!Q45&lt;&gt;"",진행중!Q45&lt;&gt;"X",진행중!AA45&lt;&gt;"완료"),진행중!Q45,"")</f>
        <v/>
      </c>
      <c r="B367">
        <f>IF($A367="","",진행중!D45)</f>
        <v/>
      </c>
      <c r="C367" t="inlineStr">
        <is>
          <t>내부</t>
        </is>
      </c>
      <c r="D367" s="22">
        <f>IF($A367="","",진행중!V45)</f>
        <v/>
      </c>
      <c r="E367" s="22">
        <f>IF($A367="","",IF(VLOOKUP($C367,설정!$A$4:$B$12,2,0)=0,진행중!W45,MIN(WORKDAY(진행중!V45,VLOOKUP($C367,설정!$A$4:$B$12,2,0)-1),진행중!W45)))</f>
        <v/>
      </c>
      <c r="F367">
        <f>IF($A367="","",COUNTIF($A$2:$A367,$A367))</f>
        <v/>
      </c>
      <c r="G367">
        <f>IF($A367="","",$A367&amp;"|"&amp;$F367)</f>
        <v/>
      </c>
    </row>
    <row r="368">
      <c r="A368">
        <f>IF(AND(진행중!D45&lt;&gt;"",진행중!V45&lt;&gt;"",진행중!R45&lt;&gt;"",진행중!R45&lt;&gt;"X",진행중!AA45&lt;&gt;"완료"),진행중!R45,"")</f>
        <v/>
      </c>
      <c r="B368">
        <f>IF($A368="","",진행중!D45)</f>
        <v/>
      </c>
      <c r="C368" t="inlineStr">
        <is>
          <t>외부</t>
        </is>
      </c>
      <c r="D368" s="22">
        <f>IF($A368="","",진행중!V45)</f>
        <v/>
      </c>
      <c r="E368" s="22">
        <f>IF($A368="","",IF(VLOOKUP($C368,설정!$A$4:$B$12,2,0)=0,진행중!W45,MIN(WORKDAY(진행중!V45,VLOOKUP($C368,설정!$A$4:$B$12,2,0)-1),진행중!W45)))</f>
        <v/>
      </c>
      <c r="F368">
        <f>IF($A368="","",COUNTIF($A$2:$A368,$A368))</f>
        <v/>
      </c>
      <c r="G368">
        <f>IF($A368="","",$A368&amp;"|"&amp;$F368)</f>
        <v/>
      </c>
    </row>
    <row r="369">
      <c r="A369">
        <f>IF(AND(진행중!D45&lt;&gt;"",진행중!V45&lt;&gt;"",진행중!S45&lt;&gt;"",진행중!S45&lt;&gt;"X",진행중!AA45&lt;&gt;"완료"),진행중!S45,"")</f>
        <v/>
      </c>
      <c r="B369">
        <f>IF($A369="","",진행중!D45)</f>
        <v/>
      </c>
      <c r="C369" t="inlineStr">
        <is>
          <t>창호</t>
        </is>
      </c>
      <c r="D369" s="22">
        <f>IF($A369="","",진행중!V45)</f>
        <v/>
      </c>
      <c r="E369" s="22">
        <f>IF($A369="","",IF(VLOOKUP($C369,설정!$A$4:$B$12,2,0)=0,진행중!W45,MIN(WORKDAY(진행중!V45,VLOOKUP($C369,설정!$A$4:$B$12,2,0)-1),진행중!W45)))</f>
        <v/>
      </c>
      <c r="F369">
        <f>IF($A369="","",COUNTIF($A$2:$A369,$A369))</f>
        <v/>
      </c>
      <c r="G369">
        <f>IF($A369="","",$A369&amp;"|"&amp;$F369)</f>
        <v/>
      </c>
    </row>
    <row r="370">
      <c r="A370">
        <f>IF(AND(진행중!D45&lt;&gt;"",진행중!V45&lt;&gt;"",진행중!T45&lt;&gt;"",진행중!T45&lt;&gt;"X",진행중!AA45&lt;&gt;"완료"),진행중!T45,"")</f>
        <v/>
      </c>
      <c r="B370">
        <f>IF($A370="","",진행중!D45)</f>
        <v/>
      </c>
      <c r="C370" t="inlineStr">
        <is>
          <t>조적</t>
        </is>
      </c>
      <c r="D370" s="22">
        <f>IF($A370="","",진행중!V45)</f>
        <v/>
      </c>
      <c r="E370" s="22">
        <f>IF($A370="","",IF(VLOOKUP($C370,설정!$A$4:$B$12,2,0)=0,진행중!W45,MIN(WORKDAY(진행중!V45,VLOOKUP($C370,설정!$A$4:$B$12,2,0)-1),진행중!W45)))</f>
        <v/>
      </c>
      <c r="F370">
        <f>IF($A370="","",COUNTIF($A$2:$A370,$A370))</f>
        <v/>
      </c>
      <c r="G370">
        <f>IF($A370="","",$A370&amp;"|"&amp;$F370)</f>
        <v/>
      </c>
    </row>
    <row r="371">
      <c r="A371">
        <f>IF(AND(진행중!D46&lt;&gt;"",진행중!V46&lt;&gt;"",진행중!L46&lt;&gt;"",진행중!L46&lt;&gt;"X",진행중!AA46&lt;&gt;"완료"),진행중!L46,"")</f>
        <v/>
      </c>
      <c r="B371">
        <f>IF($A371="","",진행중!D46)</f>
        <v/>
      </c>
      <c r="C371" t="inlineStr">
        <is>
          <t>PM</t>
        </is>
      </c>
      <c r="D371" s="22">
        <f>IF($A371="","",진행중!V46)</f>
        <v/>
      </c>
      <c r="E371" s="22">
        <f>IF($A371="","",IF(VLOOKUP($C371,설정!$A$4:$B$12,2,0)=0,진행중!W46,MIN(WORKDAY(진행중!V46,VLOOKUP($C371,설정!$A$4:$B$12,2,0)-1),진행중!W46)))</f>
        <v/>
      </c>
      <c r="F371">
        <f>IF($A371="","",COUNTIF($A$2:$A371,$A371))</f>
        <v/>
      </c>
      <c r="G371">
        <f>IF($A371="","",$A371&amp;"|"&amp;$F371)</f>
        <v/>
      </c>
    </row>
    <row r="372">
      <c r="A372">
        <f>IF(AND(진행중!D46&lt;&gt;"",진행중!V46&lt;&gt;"",진행중!M46&lt;&gt;"",진행중!M46&lt;&gt;"X",진행중!AA46&lt;&gt;"완료"),진행중!M46,"")</f>
        <v/>
      </c>
      <c r="B372">
        <f>IF($A372="","",진행중!D46)</f>
        <v/>
      </c>
      <c r="C372" t="inlineStr">
        <is>
          <t>검토</t>
        </is>
      </c>
      <c r="D372" s="22">
        <f>IF($A372="","",진행중!V46)</f>
        <v/>
      </c>
      <c r="E372" s="22">
        <f>IF($A372="","",IF(VLOOKUP($C372,설정!$A$4:$B$12,2,0)=0,진행중!W46,MIN(WORKDAY(진행중!V46,VLOOKUP($C372,설정!$A$4:$B$12,2,0)-1),진행중!W46)))</f>
        <v/>
      </c>
      <c r="F372">
        <f>IF($A372="","",COUNTIF($A$2:$A372,$A372))</f>
        <v/>
      </c>
      <c r="G372">
        <f>IF($A372="","",$A372&amp;"|"&amp;$F372)</f>
        <v/>
      </c>
    </row>
    <row r="373">
      <c r="A373">
        <f>IF(AND(진행중!D46&lt;&gt;"",진행중!V46&lt;&gt;"",진행중!N46&lt;&gt;"",진행중!N46&lt;&gt;"X",진행중!AA46&lt;&gt;"완료"),진행중!N46,"")</f>
        <v/>
      </c>
      <c r="B373">
        <f>IF($A373="","",진행중!D46)</f>
        <v/>
      </c>
      <c r="C373" t="inlineStr">
        <is>
          <t>내역</t>
        </is>
      </c>
      <c r="D373" s="22">
        <f>IF($A373="","",진행중!V46)</f>
        <v/>
      </c>
      <c r="E373" s="22">
        <f>IF($A373="","",IF(VLOOKUP($C373,설정!$A$4:$B$12,2,0)=0,진행중!W46,MIN(WORKDAY(진행중!V46,VLOOKUP($C373,설정!$A$4:$B$12,2,0)-1),진행중!W46)))</f>
        <v/>
      </c>
      <c r="F373">
        <f>IF($A373="","",COUNTIF($A$2:$A373,$A373))</f>
        <v/>
      </c>
      <c r="G373">
        <f>IF($A373="","",$A373&amp;"|"&amp;$F373)</f>
        <v/>
      </c>
    </row>
    <row r="374">
      <c r="A374">
        <f>IF(AND(진행중!D46&lt;&gt;"",진행중!V46&lt;&gt;"",진행중!O46&lt;&gt;"",진행중!O46&lt;&gt;"X",진행중!AA46&lt;&gt;"완료"),진행중!O46,"")</f>
        <v/>
      </c>
      <c r="B374">
        <f>IF($A374="","",진행중!D46)</f>
        <v/>
      </c>
      <c r="C374" t="inlineStr">
        <is>
          <t>가설</t>
        </is>
      </c>
      <c r="D374" s="22">
        <f>IF($A374="","",진행중!V46)</f>
        <v/>
      </c>
      <c r="E374" s="22">
        <f>IF($A374="","",IF(VLOOKUP($C374,설정!$A$4:$B$12,2,0)=0,진행중!W46,MIN(WORKDAY(진행중!V46,VLOOKUP($C374,설정!$A$4:$B$12,2,0)-1),진행중!W46)))</f>
        <v/>
      </c>
      <c r="F374">
        <f>IF($A374="","",COUNTIF($A$2:$A374,$A374))</f>
        <v/>
      </c>
      <c r="G374">
        <f>IF($A374="","",$A374&amp;"|"&amp;$F374)</f>
        <v/>
      </c>
    </row>
    <row r="375">
      <c r="A375">
        <f>IF(AND(진행중!D46&lt;&gt;"",진행중!V46&lt;&gt;"",진행중!P46&lt;&gt;"",진행중!P46&lt;&gt;"X",진행중!AA46&lt;&gt;"완료"),진행중!P46,"")</f>
        <v/>
      </c>
      <c r="B375">
        <f>IF($A375="","",진행중!D46)</f>
        <v/>
      </c>
      <c r="C375" t="inlineStr">
        <is>
          <t>세대</t>
        </is>
      </c>
      <c r="D375" s="22">
        <f>IF($A375="","",진행중!V46)</f>
        <v/>
      </c>
      <c r="E375" s="22">
        <f>IF($A375="","",IF(VLOOKUP($C375,설정!$A$4:$B$12,2,0)=0,진행중!W46,MIN(WORKDAY(진행중!V46,VLOOKUP($C375,설정!$A$4:$B$12,2,0)-1),진행중!W46)))</f>
        <v/>
      </c>
      <c r="F375">
        <f>IF($A375="","",COUNTIF($A$2:$A375,$A375))</f>
        <v/>
      </c>
      <c r="G375">
        <f>IF($A375="","",$A375&amp;"|"&amp;$F375)</f>
        <v/>
      </c>
    </row>
    <row r="376">
      <c r="A376">
        <f>IF(AND(진행중!D46&lt;&gt;"",진행중!V46&lt;&gt;"",진행중!Q46&lt;&gt;"",진행중!Q46&lt;&gt;"X",진행중!AA46&lt;&gt;"완료"),진행중!Q46,"")</f>
        <v/>
      </c>
      <c r="B376">
        <f>IF($A376="","",진행중!D46)</f>
        <v/>
      </c>
      <c r="C376" t="inlineStr">
        <is>
          <t>내부</t>
        </is>
      </c>
      <c r="D376" s="22">
        <f>IF($A376="","",진행중!V46)</f>
        <v/>
      </c>
      <c r="E376" s="22">
        <f>IF($A376="","",IF(VLOOKUP($C376,설정!$A$4:$B$12,2,0)=0,진행중!W46,MIN(WORKDAY(진행중!V46,VLOOKUP($C376,설정!$A$4:$B$12,2,0)-1),진행중!W46)))</f>
        <v/>
      </c>
      <c r="F376">
        <f>IF($A376="","",COUNTIF($A$2:$A376,$A376))</f>
        <v/>
      </c>
      <c r="G376">
        <f>IF($A376="","",$A376&amp;"|"&amp;$F376)</f>
        <v/>
      </c>
    </row>
    <row r="377">
      <c r="A377">
        <f>IF(AND(진행중!D46&lt;&gt;"",진행중!V46&lt;&gt;"",진행중!R46&lt;&gt;"",진행중!R46&lt;&gt;"X",진행중!AA46&lt;&gt;"완료"),진행중!R46,"")</f>
        <v/>
      </c>
      <c r="B377">
        <f>IF($A377="","",진행중!D46)</f>
        <v/>
      </c>
      <c r="C377" t="inlineStr">
        <is>
          <t>외부</t>
        </is>
      </c>
      <c r="D377" s="22">
        <f>IF($A377="","",진행중!V46)</f>
        <v/>
      </c>
      <c r="E377" s="22">
        <f>IF($A377="","",IF(VLOOKUP($C377,설정!$A$4:$B$12,2,0)=0,진행중!W46,MIN(WORKDAY(진행중!V46,VLOOKUP($C377,설정!$A$4:$B$12,2,0)-1),진행중!W46)))</f>
        <v/>
      </c>
      <c r="F377">
        <f>IF($A377="","",COUNTIF($A$2:$A377,$A377))</f>
        <v/>
      </c>
      <c r="G377">
        <f>IF($A377="","",$A377&amp;"|"&amp;$F377)</f>
        <v/>
      </c>
    </row>
    <row r="378">
      <c r="A378">
        <f>IF(AND(진행중!D46&lt;&gt;"",진행중!V46&lt;&gt;"",진행중!S46&lt;&gt;"",진행중!S46&lt;&gt;"X",진행중!AA46&lt;&gt;"완료"),진행중!S46,"")</f>
        <v/>
      </c>
      <c r="B378">
        <f>IF($A378="","",진행중!D46)</f>
        <v/>
      </c>
      <c r="C378" t="inlineStr">
        <is>
          <t>창호</t>
        </is>
      </c>
      <c r="D378" s="22">
        <f>IF($A378="","",진행중!V46)</f>
        <v/>
      </c>
      <c r="E378" s="22">
        <f>IF($A378="","",IF(VLOOKUP($C378,설정!$A$4:$B$12,2,0)=0,진행중!W46,MIN(WORKDAY(진행중!V46,VLOOKUP($C378,설정!$A$4:$B$12,2,0)-1),진행중!W46)))</f>
        <v/>
      </c>
      <c r="F378">
        <f>IF($A378="","",COUNTIF($A$2:$A378,$A378))</f>
        <v/>
      </c>
      <c r="G378">
        <f>IF($A378="","",$A378&amp;"|"&amp;$F378)</f>
        <v/>
      </c>
    </row>
    <row r="379">
      <c r="A379">
        <f>IF(AND(진행중!D46&lt;&gt;"",진행중!V46&lt;&gt;"",진행중!T46&lt;&gt;"",진행중!T46&lt;&gt;"X",진행중!AA46&lt;&gt;"완료"),진행중!T46,"")</f>
        <v/>
      </c>
      <c r="B379">
        <f>IF($A379="","",진행중!D46)</f>
        <v/>
      </c>
      <c r="C379" t="inlineStr">
        <is>
          <t>조적</t>
        </is>
      </c>
      <c r="D379" s="22">
        <f>IF($A379="","",진행중!V46)</f>
        <v/>
      </c>
      <c r="E379" s="22">
        <f>IF($A379="","",IF(VLOOKUP($C379,설정!$A$4:$B$12,2,0)=0,진행중!W46,MIN(WORKDAY(진행중!V46,VLOOKUP($C379,설정!$A$4:$B$12,2,0)-1),진행중!W46)))</f>
        <v/>
      </c>
      <c r="F379">
        <f>IF($A379="","",COUNTIF($A$2:$A379,$A379))</f>
        <v/>
      </c>
      <c r="G379">
        <f>IF($A379="","",$A379&amp;"|"&amp;$F379)</f>
        <v/>
      </c>
    </row>
    <row r="380">
      <c r="A380">
        <f>IF(AND(진행중!D47&lt;&gt;"",진행중!V47&lt;&gt;"",진행중!L47&lt;&gt;"",진행중!L47&lt;&gt;"X",진행중!AA47&lt;&gt;"완료"),진행중!L47,"")</f>
        <v/>
      </c>
      <c r="B380">
        <f>IF($A380="","",진행중!D47)</f>
        <v/>
      </c>
      <c r="C380" t="inlineStr">
        <is>
          <t>PM</t>
        </is>
      </c>
      <c r="D380" s="22">
        <f>IF($A380="","",진행중!V47)</f>
        <v/>
      </c>
      <c r="E380" s="22">
        <f>IF($A380="","",IF(VLOOKUP($C380,설정!$A$4:$B$12,2,0)=0,진행중!W47,MIN(WORKDAY(진행중!V47,VLOOKUP($C380,설정!$A$4:$B$12,2,0)-1),진행중!W47)))</f>
        <v/>
      </c>
      <c r="F380">
        <f>IF($A380="","",COUNTIF($A$2:$A380,$A380))</f>
        <v/>
      </c>
      <c r="G380">
        <f>IF($A380="","",$A380&amp;"|"&amp;$F380)</f>
        <v/>
      </c>
    </row>
    <row r="381">
      <c r="A381">
        <f>IF(AND(진행중!D47&lt;&gt;"",진행중!V47&lt;&gt;"",진행중!M47&lt;&gt;"",진행중!M47&lt;&gt;"X",진행중!AA47&lt;&gt;"완료"),진행중!M47,"")</f>
        <v/>
      </c>
      <c r="B381">
        <f>IF($A381="","",진행중!D47)</f>
        <v/>
      </c>
      <c r="C381" t="inlineStr">
        <is>
          <t>검토</t>
        </is>
      </c>
      <c r="D381" s="22">
        <f>IF($A381="","",진행중!V47)</f>
        <v/>
      </c>
      <c r="E381" s="22">
        <f>IF($A381="","",IF(VLOOKUP($C381,설정!$A$4:$B$12,2,0)=0,진행중!W47,MIN(WORKDAY(진행중!V47,VLOOKUP($C381,설정!$A$4:$B$12,2,0)-1),진행중!W47)))</f>
        <v/>
      </c>
      <c r="F381">
        <f>IF($A381="","",COUNTIF($A$2:$A381,$A381))</f>
        <v/>
      </c>
      <c r="G381">
        <f>IF($A381="","",$A381&amp;"|"&amp;$F381)</f>
        <v/>
      </c>
    </row>
    <row r="382">
      <c r="A382">
        <f>IF(AND(진행중!D47&lt;&gt;"",진행중!V47&lt;&gt;"",진행중!N47&lt;&gt;"",진행중!N47&lt;&gt;"X",진행중!AA47&lt;&gt;"완료"),진행중!N47,"")</f>
        <v/>
      </c>
      <c r="B382">
        <f>IF($A382="","",진행중!D47)</f>
        <v/>
      </c>
      <c r="C382" t="inlineStr">
        <is>
          <t>내역</t>
        </is>
      </c>
      <c r="D382" s="22">
        <f>IF($A382="","",진행중!V47)</f>
        <v/>
      </c>
      <c r="E382" s="22">
        <f>IF($A382="","",IF(VLOOKUP($C382,설정!$A$4:$B$12,2,0)=0,진행중!W47,MIN(WORKDAY(진행중!V47,VLOOKUP($C382,설정!$A$4:$B$12,2,0)-1),진행중!W47)))</f>
        <v/>
      </c>
      <c r="F382">
        <f>IF($A382="","",COUNTIF($A$2:$A382,$A382))</f>
        <v/>
      </c>
      <c r="G382">
        <f>IF($A382="","",$A382&amp;"|"&amp;$F382)</f>
        <v/>
      </c>
    </row>
    <row r="383">
      <c r="A383">
        <f>IF(AND(진행중!D47&lt;&gt;"",진행중!V47&lt;&gt;"",진행중!O47&lt;&gt;"",진행중!O47&lt;&gt;"X",진행중!AA47&lt;&gt;"완료"),진행중!O47,"")</f>
        <v/>
      </c>
      <c r="B383">
        <f>IF($A383="","",진행중!D47)</f>
        <v/>
      </c>
      <c r="C383" t="inlineStr">
        <is>
          <t>가설</t>
        </is>
      </c>
      <c r="D383" s="22">
        <f>IF($A383="","",진행중!V47)</f>
        <v/>
      </c>
      <c r="E383" s="22">
        <f>IF($A383="","",IF(VLOOKUP($C383,설정!$A$4:$B$12,2,0)=0,진행중!W47,MIN(WORKDAY(진행중!V47,VLOOKUP($C383,설정!$A$4:$B$12,2,0)-1),진행중!W47)))</f>
        <v/>
      </c>
      <c r="F383">
        <f>IF($A383="","",COUNTIF($A$2:$A383,$A383))</f>
        <v/>
      </c>
      <c r="G383">
        <f>IF($A383="","",$A383&amp;"|"&amp;$F383)</f>
        <v/>
      </c>
    </row>
    <row r="384">
      <c r="A384">
        <f>IF(AND(진행중!D47&lt;&gt;"",진행중!V47&lt;&gt;"",진행중!P47&lt;&gt;"",진행중!P47&lt;&gt;"X",진행중!AA47&lt;&gt;"완료"),진행중!P47,"")</f>
        <v/>
      </c>
      <c r="B384">
        <f>IF($A384="","",진행중!D47)</f>
        <v/>
      </c>
      <c r="C384" t="inlineStr">
        <is>
          <t>세대</t>
        </is>
      </c>
      <c r="D384" s="22">
        <f>IF($A384="","",진행중!V47)</f>
        <v/>
      </c>
      <c r="E384" s="22">
        <f>IF($A384="","",IF(VLOOKUP($C384,설정!$A$4:$B$12,2,0)=0,진행중!W47,MIN(WORKDAY(진행중!V47,VLOOKUP($C384,설정!$A$4:$B$12,2,0)-1),진행중!W47)))</f>
        <v/>
      </c>
      <c r="F384">
        <f>IF($A384="","",COUNTIF($A$2:$A384,$A384))</f>
        <v/>
      </c>
      <c r="G384">
        <f>IF($A384="","",$A384&amp;"|"&amp;$F384)</f>
        <v/>
      </c>
    </row>
    <row r="385">
      <c r="A385">
        <f>IF(AND(진행중!D47&lt;&gt;"",진행중!V47&lt;&gt;"",진행중!Q47&lt;&gt;"",진행중!Q47&lt;&gt;"X",진행중!AA47&lt;&gt;"완료"),진행중!Q47,"")</f>
        <v/>
      </c>
      <c r="B385">
        <f>IF($A385="","",진행중!D47)</f>
        <v/>
      </c>
      <c r="C385" t="inlineStr">
        <is>
          <t>내부</t>
        </is>
      </c>
      <c r="D385" s="22">
        <f>IF($A385="","",진행중!V47)</f>
        <v/>
      </c>
      <c r="E385" s="22">
        <f>IF($A385="","",IF(VLOOKUP($C385,설정!$A$4:$B$12,2,0)=0,진행중!W47,MIN(WORKDAY(진행중!V47,VLOOKUP($C385,설정!$A$4:$B$12,2,0)-1),진행중!W47)))</f>
        <v/>
      </c>
      <c r="F385">
        <f>IF($A385="","",COUNTIF($A$2:$A385,$A385))</f>
        <v/>
      </c>
      <c r="G385">
        <f>IF($A385="","",$A385&amp;"|"&amp;$F385)</f>
        <v/>
      </c>
    </row>
    <row r="386">
      <c r="A386">
        <f>IF(AND(진행중!D47&lt;&gt;"",진행중!V47&lt;&gt;"",진행중!R47&lt;&gt;"",진행중!R47&lt;&gt;"X",진행중!AA47&lt;&gt;"완료"),진행중!R47,"")</f>
        <v/>
      </c>
      <c r="B386">
        <f>IF($A386="","",진행중!D47)</f>
        <v/>
      </c>
      <c r="C386" t="inlineStr">
        <is>
          <t>외부</t>
        </is>
      </c>
      <c r="D386" s="22">
        <f>IF($A386="","",진행중!V47)</f>
        <v/>
      </c>
      <c r="E386" s="22">
        <f>IF($A386="","",IF(VLOOKUP($C386,설정!$A$4:$B$12,2,0)=0,진행중!W47,MIN(WORKDAY(진행중!V47,VLOOKUP($C386,설정!$A$4:$B$12,2,0)-1),진행중!W47)))</f>
        <v/>
      </c>
      <c r="F386">
        <f>IF($A386="","",COUNTIF($A$2:$A386,$A386))</f>
        <v/>
      </c>
      <c r="G386">
        <f>IF($A386="","",$A386&amp;"|"&amp;$F386)</f>
        <v/>
      </c>
    </row>
    <row r="387">
      <c r="A387">
        <f>IF(AND(진행중!D47&lt;&gt;"",진행중!V47&lt;&gt;"",진행중!S47&lt;&gt;"",진행중!S47&lt;&gt;"X",진행중!AA47&lt;&gt;"완료"),진행중!S47,"")</f>
        <v/>
      </c>
      <c r="B387">
        <f>IF($A387="","",진행중!D47)</f>
        <v/>
      </c>
      <c r="C387" t="inlineStr">
        <is>
          <t>창호</t>
        </is>
      </c>
      <c r="D387" s="22">
        <f>IF($A387="","",진행중!V47)</f>
        <v/>
      </c>
      <c r="E387" s="22">
        <f>IF($A387="","",IF(VLOOKUP($C387,설정!$A$4:$B$12,2,0)=0,진행중!W47,MIN(WORKDAY(진행중!V47,VLOOKUP($C387,설정!$A$4:$B$12,2,0)-1),진행중!W47)))</f>
        <v/>
      </c>
      <c r="F387">
        <f>IF($A387="","",COUNTIF($A$2:$A387,$A387))</f>
        <v/>
      </c>
      <c r="G387">
        <f>IF($A387="","",$A387&amp;"|"&amp;$F387)</f>
        <v/>
      </c>
    </row>
    <row r="388">
      <c r="A388">
        <f>IF(AND(진행중!D47&lt;&gt;"",진행중!V47&lt;&gt;"",진행중!T47&lt;&gt;"",진행중!T47&lt;&gt;"X",진행중!AA47&lt;&gt;"완료"),진행중!T47,"")</f>
        <v/>
      </c>
      <c r="B388">
        <f>IF($A388="","",진행중!D47)</f>
        <v/>
      </c>
      <c r="C388" t="inlineStr">
        <is>
          <t>조적</t>
        </is>
      </c>
      <c r="D388" s="22">
        <f>IF($A388="","",진행중!V47)</f>
        <v/>
      </c>
      <c r="E388" s="22">
        <f>IF($A388="","",IF(VLOOKUP($C388,설정!$A$4:$B$12,2,0)=0,진행중!W47,MIN(WORKDAY(진행중!V47,VLOOKUP($C388,설정!$A$4:$B$12,2,0)-1),진행중!W47)))</f>
        <v/>
      </c>
      <c r="F388">
        <f>IF($A388="","",COUNTIF($A$2:$A388,$A388))</f>
        <v/>
      </c>
      <c r="G388">
        <f>IF($A388="","",$A388&amp;"|"&amp;$F388)</f>
        <v/>
      </c>
    </row>
    <row r="389">
      <c r="A389">
        <f>IF(AND(진행중!D48&lt;&gt;"",진행중!V48&lt;&gt;"",진행중!L48&lt;&gt;"",진행중!L48&lt;&gt;"X",진행중!AA48&lt;&gt;"완료"),진행중!L48,"")</f>
        <v/>
      </c>
      <c r="B389">
        <f>IF($A389="","",진행중!D48)</f>
        <v/>
      </c>
      <c r="C389" t="inlineStr">
        <is>
          <t>PM</t>
        </is>
      </c>
      <c r="D389" s="22">
        <f>IF($A389="","",진행중!V48)</f>
        <v/>
      </c>
      <c r="E389" s="22">
        <f>IF($A389="","",IF(VLOOKUP($C389,설정!$A$4:$B$12,2,0)=0,진행중!W48,MIN(WORKDAY(진행중!V48,VLOOKUP($C389,설정!$A$4:$B$12,2,0)-1),진행중!W48)))</f>
        <v/>
      </c>
      <c r="F389">
        <f>IF($A389="","",COUNTIF($A$2:$A389,$A389))</f>
        <v/>
      </c>
      <c r="G389">
        <f>IF($A389="","",$A389&amp;"|"&amp;$F389)</f>
        <v/>
      </c>
    </row>
    <row r="390">
      <c r="A390">
        <f>IF(AND(진행중!D48&lt;&gt;"",진행중!V48&lt;&gt;"",진행중!M48&lt;&gt;"",진행중!M48&lt;&gt;"X",진행중!AA48&lt;&gt;"완료"),진행중!M48,"")</f>
        <v/>
      </c>
      <c r="B390">
        <f>IF($A390="","",진행중!D48)</f>
        <v/>
      </c>
      <c r="C390" t="inlineStr">
        <is>
          <t>검토</t>
        </is>
      </c>
      <c r="D390" s="22">
        <f>IF($A390="","",진행중!V48)</f>
        <v/>
      </c>
      <c r="E390" s="22">
        <f>IF($A390="","",IF(VLOOKUP($C390,설정!$A$4:$B$12,2,0)=0,진행중!W48,MIN(WORKDAY(진행중!V48,VLOOKUP($C390,설정!$A$4:$B$12,2,0)-1),진행중!W48)))</f>
        <v/>
      </c>
      <c r="F390">
        <f>IF($A390="","",COUNTIF($A$2:$A390,$A390))</f>
        <v/>
      </c>
      <c r="G390">
        <f>IF($A390="","",$A390&amp;"|"&amp;$F390)</f>
        <v/>
      </c>
    </row>
    <row r="391">
      <c r="A391">
        <f>IF(AND(진행중!D48&lt;&gt;"",진행중!V48&lt;&gt;"",진행중!N48&lt;&gt;"",진행중!N48&lt;&gt;"X",진행중!AA48&lt;&gt;"완료"),진행중!N48,"")</f>
        <v/>
      </c>
      <c r="B391">
        <f>IF($A391="","",진행중!D48)</f>
        <v/>
      </c>
      <c r="C391" t="inlineStr">
        <is>
          <t>내역</t>
        </is>
      </c>
      <c r="D391" s="22">
        <f>IF($A391="","",진행중!V48)</f>
        <v/>
      </c>
      <c r="E391" s="22">
        <f>IF($A391="","",IF(VLOOKUP($C391,설정!$A$4:$B$12,2,0)=0,진행중!W48,MIN(WORKDAY(진행중!V48,VLOOKUP($C391,설정!$A$4:$B$12,2,0)-1),진행중!W48)))</f>
        <v/>
      </c>
      <c r="F391">
        <f>IF($A391="","",COUNTIF($A$2:$A391,$A391))</f>
        <v/>
      </c>
      <c r="G391">
        <f>IF($A391="","",$A391&amp;"|"&amp;$F391)</f>
        <v/>
      </c>
    </row>
    <row r="392">
      <c r="A392">
        <f>IF(AND(진행중!D48&lt;&gt;"",진행중!V48&lt;&gt;"",진행중!O48&lt;&gt;"",진행중!O48&lt;&gt;"X",진행중!AA48&lt;&gt;"완료"),진행중!O48,"")</f>
        <v/>
      </c>
      <c r="B392">
        <f>IF($A392="","",진행중!D48)</f>
        <v/>
      </c>
      <c r="C392" t="inlineStr">
        <is>
          <t>가설</t>
        </is>
      </c>
      <c r="D392" s="22">
        <f>IF($A392="","",진행중!V48)</f>
        <v/>
      </c>
      <c r="E392" s="22">
        <f>IF($A392="","",IF(VLOOKUP($C392,설정!$A$4:$B$12,2,0)=0,진행중!W48,MIN(WORKDAY(진행중!V48,VLOOKUP($C392,설정!$A$4:$B$12,2,0)-1),진행중!W48)))</f>
        <v/>
      </c>
      <c r="F392">
        <f>IF($A392="","",COUNTIF($A$2:$A392,$A392))</f>
        <v/>
      </c>
      <c r="G392">
        <f>IF($A392="","",$A392&amp;"|"&amp;$F392)</f>
        <v/>
      </c>
    </row>
    <row r="393">
      <c r="A393">
        <f>IF(AND(진행중!D48&lt;&gt;"",진행중!V48&lt;&gt;"",진행중!P48&lt;&gt;"",진행중!P48&lt;&gt;"X",진행중!AA48&lt;&gt;"완료"),진행중!P48,"")</f>
        <v/>
      </c>
      <c r="B393">
        <f>IF($A393="","",진행중!D48)</f>
        <v/>
      </c>
      <c r="C393" t="inlineStr">
        <is>
          <t>세대</t>
        </is>
      </c>
      <c r="D393" s="22">
        <f>IF($A393="","",진행중!V48)</f>
        <v/>
      </c>
      <c r="E393" s="22">
        <f>IF($A393="","",IF(VLOOKUP($C393,설정!$A$4:$B$12,2,0)=0,진행중!W48,MIN(WORKDAY(진행중!V48,VLOOKUP($C393,설정!$A$4:$B$12,2,0)-1),진행중!W48)))</f>
        <v/>
      </c>
      <c r="F393">
        <f>IF($A393="","",COUNTIF($A$2:$A393,$A393))</f>
        <v/>
      </c>
      <c r="G393">
        <f>IF($A393="","",$A393&amp;"|"&amp;$F393)</f>
        <v/>
      </c>
    </row>
    <row r="394">
      <c r="A394">
        <f>IF(AND(진행중!D48&lt;&gt;"",진행중!V48&lt;&gt;"",진행중!Q48&lt;&gt;"",진행중!Q48&lt;&gt;"X",진행중!AA48&lt;&gt;"완료"),진행중!Q48,"")</f>
        <v/>
      </c>
      <c r="B394">
        <f>IF($A394="","",진행중!D48)</f>
        <v/>
      </c>
      <c r="C394" t="inlineStr">
        <is>
          <t>내부</t>
        </is>
      </c>
      <c r="D394" s="22">
        <f>IF($A394="","",진행중!V48)</f>
        <v/>
      </c>
      <c r="E394" s="22">
        <f>IF($A394="","",IF(VLOOKUP($C394,설정!$A$4:$B$12,2,0)=0,진행중!W48,MIN(WORKDAY(진행중!V48,VLOOKUP($C394,설정!$A$4:$B$12,2,0)-1),진행중!W48)))</f>
        <v/>
      </c>
      <c r="F394">
        <f>IF($A394="","",COUNTIF($A$2:$A394,$A394))</f>
        <v/>
      </c>
      <c r="G394">
        <f>IF($A394="","",$A394&amp;"|"&amp;$F394)</f>
        <v/>
      </c>
    </row>
    <row r="395">
      <c r="A395">
        <f>IF(AND(진행중!D48&lt;&gt;"",진행중!V48&lt;&gt;"",진행중!R48&lt;&gt;"",진행중!R48&lt;&gt;"X",진행중!AA48&lt;&gt;"완료"),진행중!R48,"")</f>
        <v/>
      </c>
      <c r="B395">
        <f>IF($A395="","",진행중!D48)</f>
        <v/>
      </c>
      <c r="C395" t="inlineStr">
        <is>
          <t>외부</t>
        </is>
      </c>
      <c r="D395" s="22">
        <f>IF($A395="","",진행중!V48)</f>
        <v/>
      </c>
      <c r="E395" s="22">
        <f>IF($A395="","",IF(VLOOKUP($C395,설정!$A$4:$B$12,2,0)=0,진행중!W48,MIN(WORKDAY(진행중!V48,VLOOKUP($C395,설정!$A$4:$B$12,2,0)-1),진행중!W48)))</f>
        <v/>
      </c>
      <c r="F395">
        <f>IF($A395="","",COUNTIF($A$2:$A395,$A395))</f>
        <v/>
      </c>
      <c r="G395">
        <f>IF($A395="","",$A395&amp;"|"&amp;$F395)</f>
        <v/>
      </c>
    </row>
    <row r="396">
      <c r="A396">
        <f>IF(AND(진행중!D48&lt;&gt;"",진행중!V48&lt;&gt;"",진행중!S48&lt;&gt;"",진행중!S48&lt;&gt;"X",진행중!AA48&lt;&gt;"완료"),진행중!S48,"")</f>
        <v/>
      </c>
      <c r="B396">
        <f>IF($A396="","",진행중!D48)</f>
        <v/>
      </c>
      <c r="C396" t="inlineStr">
        <is>
          <t>창호</t>
        </is>
      </c>
      <c r="D396" s="22">
        <f>IF($A396="","",진행중!V48)</f>
        <v/>
      </c>
      <c r="E396" s="22">
        <f>IF($A396="","",IF(VLOOKUP($C396,설정!$A$4:$B$12,2,0)=0,진행중!W48,MIN(WORKDAY(진행중!V48,VLOOKUP($C396,설정!$A$4:$B$12,2,0)-1),진행중!W48)))</f>
        <v/>
      </c>
      <c r="F396">
        <f>IF($A396="","",COUNTIF($A$2:$A396,$A396))</f>
        <v/>
      </c>
      <c r="G396">
        <f>IF($A396="","",$A396&amp;"|"&amp;$F396)</f>
        <v/>
      </c>
    </row>
    <row r="397">
      <c r="A397">
        <f>IF(AND(진행중!D48&lt;&gt;"",진행중!V48&lt;&gt;"",진행중!T48&lt;&gt;"",진행중!T48&lt;&gt;"X",진행중!AA48&lt;&gt;"완료"),진행중!T48,"")</f>
        <v/>
      </c>
      <c r="B397">
        <f>IF($A397="","",진행중!D48)</f>
        <v/>
      </c>
      <c r="C397" t="inlineStr">
        <is>
          <t>조적</t>
        </is>
      </c>
      <c r="D397" s="22">
        <f>IF($A397="","",진행중!V48)</f>
        <v/>
      </c>
      <c r="E397" s="22">
        <f>IF($A397="","",IF(VLOOKUP($C397,설정!$A$4:$B$12,2,0)=0,진행중!W48,MIN(WORKDAY(진행중!V48,VLOOKUP($C397,설정!$A$4:$B$12,2,0)-1),진행중!W48)))</f>
        <v/>
      </c>
      <c r="F397">
        <f>IF($A397="","",COUNTIF($A$2:$A397,$A397))</f>
        <v/>
      </c>
      <c r="G397">
        <f>IF($A397="","",$A397&amp;"|"&amp;$F397)</f>
        <v/>
      </c>
    </row>
    <row r="398">
      <c r="A398">
        <f>IF(AND(진행중!D49&lt;&gt;"",진행중!V49&lt;&gt;"",진행중!L49&lt;&gt;"",진행중!L49&lt;&gt;"X",진행중!AA49&lt;&gt;"완료"),진행중!L49,"")</f>
        <v/>
      </c>
      <c r="B398">
        <f>IF($A398="","",진행중!D49)</f>
        <v/>
      </c>
      <c r="C398" t="inlineStr">
        <is>
          <t>PM</t>
        </is>
      </c>
      <c r="D398" s="22">
        <f>IF($A398="","",진행중!V49)</f>
        <v/>
      </c>
      <c r="E398" s="22">
        <f>IF($A398="","",IF(VLOOKUP($C398,설정!$A$4:$B$12,2,0)=0,진행중!W49,MIN(WORKDAY(진행중!V49,VLOOKUP($C398,설정!$A$4:$B$12,2,0)-1),진행중!W49)))</f>
        <v/>
      </c>
      <c r="F398">
        <f>IF($A398="","",COUNTIF($A$2:$A398,$A398))</f>
        <v/>
      </c>
      <c r="G398">
        <f>IF($A398="","",$A398&amp;"|"&amp;$F398)</f>
        <v/>
      </c>
    </row>
    <row r="399">
      <c r="A399">
        <f>IF(AND(진행중!D49&lt;&gt;"",진행중!V49&lt;&gt;"",진행중!M49&lt;&gt;"",진행중!M49&lt;&gt;"X",진행중!AA49&lt;&gt;"완료"),진행중!M49,"")</f>
        <v/>
      </c>
      <c r="B399">
        <f>IF($A399="","",진행중!D49)</f>
        <v/>
      </c>
      <c r="C399" t="inlineStr">
        <is>
          <t>검토</t>
        </is>
      </c>
      <c r="D399" s="22">
        <f>IF($A399="","",진행중!V49)</f>
        <v/>
      </c>
      <c r="E399" s="22">
        <f>IF($A399="","",IF(VLOOKUP($C399,설정!$A$4:$B$12,2,0)=0,진행중!W49,MIN(WORKDAY(진행중!V49,VLOOKUP($C399,설정!$A$4:$B$12,2,0)-1),진행중!W49)))</f>
        <v/>
      </c>
      <c r="F399">
        <f>IF($A399="","",COUNTIF($A$2:$A399,$A399))</f>
        <v/>
      </c>
      <c r="G399">
        <f>IF($A399="","",$A399&amp;"|"&amp;$F399)</f>
        <v/>
      </c>
    </row>
    <row r="400">
      <c r="A400">
        <f>IF(AND(진행중!D49&lt;&gt;"",진행중!V49&lt;&gt;"",진행중!N49&lt;&gt;"",진행중!N49&lt;&gt;"X",진행중!AA49&lt;&gt;"완료"),진행중!N49,"")</f>
        <v/>
      </c>
      <c r="B400">
        <f>IF($A400="","",진행중!D49)</f>
        <v/>
      </c>
      <c r="C400" t="inlineStr">
        <is>
          <t>내역</t>
        </is>
      </c>
      <c r="D400" s="22">
        <f>IF($A400="","",진행중!V49)</f>
        <v/>
      </c>
      <c r="E400" s="22">
        <f>IF($A400="","",IF(VLOOKUP($C400,설정!$A$4:$B$12,2,0)=0,진행중!W49,MIN(WORKDAY(진행중!V49,VLOOKUP($C400,설정!$A$4:$B$12,2,0)-1),진행중!W49)))</f>
        <v/>
      </c>
      <c r="F400">
        <f>IF($A400="","",COUNTIF($A$2:$A400,$A400))</f>
        <v/>
      </c>
      <c r="G400">
        <f>IF($A400="","",$A400&amp;"|"&amp;$F400)</f>
        <v/>
      </c>
    </row>
    <row r="401">
      <c r="A401">
        <f>IF(AND(진행중!D49&lt;&gt;"",진행중!V49&lt;&gt;"",진행중!O49&lt;&gt;"",진행중!O49&lt;&gt;"X",진행중!AA49&lt;&gt;"완료"),진행중!O49,"")</f>
        <v/>
      </c>
      <c r="B401">
        <f>IF($A401="","",진행중!D49)</f>
        <v/>
      </c>
      <c r="C401" t="inlineStr">
        <is>
          <t>가설</t>
        </is>
      </c>
      <c r="D401" s="22">
        <f>IF($A401="","",진행중!V49)</f>
        <v/>
      </c>
      <c r="E401" s="22">
        <f>IF($A401="","",IF(VLOOKUP($C401,설정!$A$4:$B$12,2,0)=0,진행중!W49,MIN(WORKDAY(진행중!V49,VLOOKUP($C401,설정!$A$4:$B$12,2,0)-1),진행중!W49)))</f>
        <v/>
      </c>
      <c r="F401">
        <f>IF($A401="","",COUNTIF($A$2:$A401,$A401))</f>
        <v/>
      </c>
      <c r="G401">
        <f>IF($A401="","",$A401&amp;"|"&amp;$F401)</f>
        <v/>
      </c>
    </row>
    <row r="402">
      <c r="A402">
        <f>IF(AND(진행중!D49&lt;&gt;"",진행중!V49&lt;&gt;"",진행중!P49&lt;&gt;"",진행중!P49&lt;&gt;"X",진행중!AA49&lt;&gt;"완료"),진행중!P49,"")</f>
        <v/>
      </c>
      <c r="B402">
        <f>IF($A402="","",진행중!D49)</f>
        <v/>
      </c>
      <c r="C402" t="inlineStr">
        <is>
          <t>세대</t>
        </is>
      </c>
      <c r="D402" s="22">
        <f>IF($A402="","",진행중!V49)</f>
        <v/>
      </c>
      <c r="E402" s="22">
        <f>IF($A402="","",IF(VLOOKUP($C402,설정!$A$4:$B$12,2,0)=0,진행중!W49,MIN(WORKDAY(진행중!V49,VLOOKUP($C402,설정!$A$4:$B$12,2,0)-1),진행중!W49)))</f>
        <v/>
      </c>
      <c r="F402">
        <f>IF($A402="","",COUNTIF($A$2:$A402,$A402))</f>
        <v/>
      </c>
      <c r="G402">
        <f>IF($A402="","",$A402&amp;"|"&amp;$F402)</f>
        <v/>
      </c>
    </row>
    <row r="403">
      <c r="A403">
        <f>IF(AND(진행중!D49&lt;&gt;"",진행중!V49&lt;&gt;"",진행중!Q49&lt;&gt;"",진행중!Q49&lt;&gt;"X",진행중!AA49&lt;&gt;"완료"),진행중!Q49,"")</f>
        <v/>
      </c>
      <c r="B403">
        <f>IF($A403="","",진행중!D49)</f>
        <v/>
      </c>
      <c r="C403" t="inlineStr">
        <is>
          <t>내부</t>
        </is>
      </c>
      <c r="D403" s="22">
        <f>IF($A403="","",진행중!V49)</f>
        <v/>
      </c>
      <c r="E403" s="22">
        <f>IF($A403="","",IF(VLOOKUP($C403,설정!$A$4:$B$12,2,0)=0,진행중!W49,MIN(WORKDAY(진행중!V49,VLOOKUP($C403,설정!$A$4:$B$12,2,0)-1),진행중!W49)))</f>
        <v/>
      </c>
      <c r="F403">
        <f>IF($A403="","",COUNTIF($A$2:$A403,$A403))</f>
        <v/>
      </c>
      <c r="G403">
        <f>IF($A403="","",$A403&amp;"|"&amp;$F403)</f>
        <v/>
      </c>
    </row>
    <row r="404">
      <c r="A404">
        <f>IF(AND(진행중!D49&lt;&gt;"",진행중!V49&lt;&gt;"",진행중!R49&lt;&gt;"",진행중!R49&lt;&gt;"X",진행중!AA49&lt;&gt;"완료"),진행중!R49,"")</f>
        <v/>
      </c>
      <c r="B404">
        <f>IF($A404="","",진행중!D49)</f>
        <v/>
      </c>
      <c r="C404" t="inlineStr">
        <is>
          <t>외부</t>
        </is>
      </c>
      <c r="D404" s="22">
        <f>IF($A404="","",진행중!V49)</f>
        <v/>
      </c>
      <c r="E404" s="22">
        <f>IF($A404="","",IF(VLOOKUP($C404,설정!$A$4:$B$12,2,0)=0,진행중!W49,MIN(WORKDAY(진행중!V49,VLOOKUP($C404,설정!$A$4:$B$12,2,0)-1),진행중!W49)))</f>
        <v/>
      </c>
      <c r="F404">
        <f>IF($A404="","",COUNTIF($A$2:$A404,$A404))</f>
        <v/>
      </c>
      <c r="G404">
        <f>IF($A404="","",$A404&amp;"|"&amp;$F404)</f>
        <v/>
      </c>
    </row>
    <row r="405">
      <c r="A405">
        <f>IF(AND(진행중!D49&lt;&gt;"",진행중!V49&lt;&gt;"",진행중!S49&lt;&gt;"",진행중!S49&lt;&gt;"X",진행중!AA49&lt;&gt;"완료"),진행중!S49,"")</f>
        <v/>
      </c>
      <c r="B405">
        <f>IF($A405="","",진행중!D49)</f>
        <v/>
      </c>
      <c r="C405" t="inlineStr">
        <is>
          <t>창호</t>
        </is>
      </c>
      <c r="D405" s="22">
        <f>IF($A405="","",진행중!V49)</f>
        <v/>
      </c>
      <c r="E405" s="22">
        <f>IF($A405="","",IF(VLOOKUP($C405,설정!$A$4:$B$12,2,0)=0,진행중!W49,MIN(WORKDAY(진행중!V49,VLOOKUP($C405,설정!$A$4:$B$12,2,0)-1),진행중!W49)))</f>
        <v/>
      </c>
      <c r="F405">
        <f>IF($A405="","",COUNTIF($A$2:$A405,$A405))</f>
        <v/>
      </c>
      <c r="G405">
        <f>IF($A405="","",$A405&amp;"|"&amp;$F405)</f>
        <v/>
      </c>
    </row>
    <row r="406">
      <c r="A406">
        <f>IF(AND(진행중!D49&lt;&gt;"",진행중!V49&lt;&gt;"",진행중!T49&lt;&gt;"",진행중!T49&lt;&gt;"X",진행중!AA49&lt;&gt;"완료"),진행중!T49,"")</f>
        <v/>
      </c>
      <c r="B406">
        <f>IF($A406="","",진행중!D49)</f>
        <v/>
      </c>
      <c r="C406" t="inlineStr">
        <is>
          <t>조적</t>
        </is>
      </c>
      <c r="D406" s="22">
        <f>IF($A406="","",진행중!V49)</f>
        <v/>
      </c>
      <c r="E406" s="22">
        <f>IF($A406="","",IF(VLOOKUP($C406,설정!$A$4:$B$12,2,0)=0,진행중!W49,MIN(WORKDAY(진행중!V49,VLOOKUP($C406,설정!$A$4:$B$12,2,0)-1),진행중!W49)))</f>
        <v/>
      </c>
      <c r="F406">
        <f>IF($A406="","",COUNTIF($A$2:$A406,$A406))</f>
        <v/>
      </c>
      <c r="G406">
        <f>IF($A406="","",$A406&amp;"|"&amp;$F406)</f>
        <v/>
      </c>
    </row>
    <row r="407">
      <c r="A407">
        <f>IF(AND(진행중!D50&lt;&gt;"",진행중!V50&lt;&gt;"",진행중!L50&lt;&gt;"",진행중!L50&lt;&gt;"X",진행중!AA50&lt;&gt;"완료"),진행중!L50,"")</f>
        <v/>
      </c>
      <c r="B407">
        <f>IF($A407="","",진행중!D50)</f>
        <v/>
      </c>
      <c r="C407" t="inlineStr">
        <is>
          <t>PM</t>
        </is>
      </c>
      <c r="D407" s="22">
        <f>IF($A407="","",진행중!V50)</f>
        <v/>
      </c>
      <c r="E407" s="22">
        <f>IF($A407="","",IF(VLOOKUP($C407,설정!$A$4:$B$12,2,0)=0,진행중!W50,MIN(WORKDAY(진행중!V50,VLOOKUP($C407,설정!$A$4:$B$12,2,0)-1),진행중!W50)))</f>
        <v/>
      </c>
      <c r="F407">
        <f>IF($A407="","",COUNTIF($A$2:$A407,$A407))</f>
        <v/>
      </c>
      <c r="G407">
        <f>IF($A407="","",$A407&amp;"|"&amp;$F407)</f>
        <v/>
      </c>
    </row>
    <row r="408">
      <c r="A408">
        <f>IF(AND(진행중!D50&lt;&gt;"",진행중!V50&lt;&gt;"",진행중!M50&lt;&gt;"",진행중!M50&lt;&gt;"X",진행중!AA50&lt;&gt;"완료"),진행중!M50,"")</f>
        <v/>
      </c>
      <c r="B408">
        <f>IF($A408="","",진행중!D50)</f>
        <v/>
      </c>
      <c r="C408" t="inlineStr">
        <is>
          <t>검토</t>
        </is>
      </c>
      <c r="D408" s="22">
        <f>IF($A408="","",진행중!V50)</f>
        <v/>
      </c>
      <c r="E408" s="22">
        <f>IF($A408="","",IF(VLOOKUP($C408,설정!$A$4:$B$12,2,0)=0,진행중!W50,MIN(WORKDAY(진행중!V50,VLOOKUP($C408,설정!$A$4:$B$12,2,0)-1),진행중!W50)))</f>
        <v/>
      </c>
      <c r="F408">
        <f>IF($A408="","",COUNTIF($A$2:$A408,$A408))</f>
        <v/>
      </c>
      <c r="G408">
        <f>IF($A408="","",$A408&amp;"|"&amp;$F408)</f>
        <v/>
      </c>
    </row>
    <row r="409">
      <c r="A409">
        <f>IF(AND(진행중!D50&lt;&gt;"",진행중!V50&lt;&gt;"",진행중!N50&lt;&gt;"",진행중!N50&lt;&gt;"X",진행중!AA50&lt;&gt;"완료"),진행중!N50,"")</f>
        <v/>
      </c>
      <c r="B409">
        <f>IF($A409="","",진행중!D50)</f>
        <v/>
      </c>
      <c r="C409" t="inlineStr">
        <is>
          <t>내역</t>
        </is>
      </c>
      <c r="D409" s="22">
        <f>IF($A409="","",진행중!V50)</f>
        <v/>
      </c>
      <c r="E409" s="22">
        <f>IF($A409="","",IF(VLOOKUP($C409,설정!$A$4:$B$12,2,0)=0,진행중!W50,MIN(WORKDAY(진행중!V50,VLOOKUP($C409,설정!$A$4:$B$12,2,0)-1),진행중!W50)))</f>
        <v/>
      </c>
      <c r="F409">
        <f>IF($A409="","",COUNTIF($A$2:$A409,$A409))</f>
        <v/>
      </c>
      <c r="G409">
        <f>IF($A409="","",$A409&amp;"|"&amp;$F409)</f>
        <v/>
      </c>
    </row>
    <row r="410">
      <c r="A410">
        <f>IF(AND(진행중!D50&lt;&gt;"",진행중!V50&lt;&gt;"",진행중!O50&lt;&gt;"",진행중!O50&lt;&gt;"X",진행중!AA50&lt;&gt;"완료"),진행중!O50,"")</f>
        <v/>
      </c>
      <c r="B410">
        <f>IF($A410="","",진행중!D50)</f>
        <v/>
      </c>
      <c r="C410" t="inlineStr">
        <is>
          <t>가설</t>
        </is>
      </c>
      <c r="D410" s="22">
        <f>IF($A410="","",진행중!V50)</f>
        <v/>
      </c>
      <c r="E410" s="22">
        <f>IF($A410="","",IF(VLOOKUP($C410,설정!$A$4:$B$12,2,0)=0,진행중!W50,MIN(WORKDAY(진행중!V50,VLOOKUP($C410,설정!$A$4:$B$12,2,0)-1),진행중!W50)))</f>
        <v/>
      </c>
      <c r="F410">
        <f>IF($A410="","",COUNTIF($A$2:$A410,$A410))</f>
        <v/>
      </c>
      <c r="G410">
        <f>IF($A410="","",$A410&amp;"|"&amp;$F410)</f>
        <v/>
      </c>
    </row>
    <row r="411">
      <c r="A411">
        <f>IF(AND(진행중!D50&lt;&gt;"",진행중!V50&lt;&gt;"",진행중!P50&lt;&gt;"",진행중!P50&lt;&gt;"X",진행중!AA50&lt;&gt;"완료"),진행중!P50,"")</f>
        <v/>
      </c>
      <c r="B411">
        <f>IF($A411="","",진행중!D50)</f>
        <v/>
      </c>
      <c r="C411" t="inlineStr">
        <is>
          <t>세대</t>
        </is>
      </c>
      <c r="D411" s="22">
        <f>IF($A411="","",진행중!V50)</f>
        <v/>
      </c>
      <c r="E411" s="22">
        <f>IF($A411="","",IF(VLOOKUP($C411,설정!$A$4:$B$12,2,0)=0,진행중!W50,MIN(WORKDAY(진행중!V50,VLOOKUP($C411,설정!$A$4:$B$12,2,0)-1),진행중!W50)))</f>
        <v/>
      </c>
      <c r="F411">
        <f>IF($A411="","",COUNTIF($A$2:$A411,$A411))</f>
        <v/>
      </c>
      <c r="G411">
        <f>IF($A411="","",$A411&amp;"|"&amp;$F411)</f>
        <v/>
      </c>
    </row>
    <row r="412">
      <c r="A412">
        <f>IF(AND(진행중!D50&lt;&gt;"",진행중!V50&lt;&gt;"",진행중!Q50&lt;&gt;"",진행중!Q50&lt;&gt;"X",진행중!AA50&lt;&gt;"완료"),진행중!Q50,"")</f>
        <v/>
      </c>
      <c r="B412">
        <f>IF($A412="","",진행중!D50)</f>
        <v/>
      </c>
      <c r="C412" t="inlineStr">
        <is>
          <t>내부</t>
        </is>
      </c>
      <c r="D412" s="22">
        <f>IF($A412="","",진행중!V50)</f>
        <v/>
      </c>
      <c r="E412" s="22">
        <f>IF($A412="","",IF(VLOOKUP($C412,설정!$A$4:$B$12,2,0)=0,진행중!W50,MIN(WORKDAY(진행중!V50,VLOOKUP($C412,설정!$A$4:$B$12,2,0)-1),진행중!W50)))</f>
        <v/>
      </c>
      <c r="F412">
        <f>IF($A412="","",COUNTIF($A$2:$A412,$A412))</f>
        <v/>
      </c>
      <c r="G412">
        <f>IF($A412="","",$A412&amp;"|"&amp;$F412)</f>
        <v/>
      </c>
    </row>
    <row r="413">
      <c r="A413">
        <f>IF(AND(진행중!D50&lt;&gt;"",진행중!V50&lt;&gt;"",진행중!R50&lt;&gt;"",진행중!R50&lt;&gt;"X",진행중!AA50&lt;&gt;"완료"),진행중!R50,"")</f>
        <v/>
      </c>
      <c r="B413">
        <f>IF($A413="","",진행중!D50)</f>
        <v/>
      </c>
      <c r="C413" t="inlineStr">
        <is>
          <t>외부</t>
        </is>
      </c>
      <c r="D413" s="22">
        <f>IF($A413="","",진행중!V50)</f>
        <v/>
      </c>
      <c r="E413" s="22">
        <f>IF($A413="","",IF(VLOOKUP($C413,설정!$A$4:$B$12,2,0)=0,진행중!W50,MIN(WORKDAY(진행중!V50,VLOOKUP($C413,설정!$A$4:$B$12,2,0)-1),진행중!W50)))</f>
        <v/>
      </c>
      <c r="F413">
        <f>IF($A413="","",COUNTIF($A$2:$A413,$A413))</f>
        <v/>
      </c>
      <c r="G413">
        <f>IF($A413="","",$A413&amp;"|"&amp;$F413)</f>
        <v/>
      </c>
    </row>
    <row r="414">
      <c r="A414">
        <f>IF(AND(진행중!D50&lt;&gt;"",진행중!V50&lt;&gt;"",진행중!S50&lt;&gt;"",진행중!S50&lt;&gt;"X",진행중!AA50&lt;&gt;"완료"),진행중!S50,"")</f>
        <v/>
      </c>
      <c r="B414">
        <f>IF($A414="","",진행중!D50)</f>
        <v/>
      </c>
      <c r="C414" t="inlineStr">
        <is>
          <t>창호</t>
        </is>
      </c>
      <c r="D414" s="22">
        <f>IF($A414="","",진행중!V50)</f>
        <v/>
      </c>
      <c r="E414" s="22">
        <f>IF($A414="","",IF(VLOOKUP($C414,설정!$A$4:$B$12,2,0)=0,진행중!W50,MIN(WORKDAY(진행중!V50,VLOOKUP($C414,설정!$A$4:$B$12,2,0)-1),진행중!W50)))</f>
        <v/>
      </c>
      <c r="F414">
        <f>IF($A414="","",COUNTIF($A$2:$A414,$A414))</f>
        <v/>
      </c>
      <c r="G414">
        <f>IF($A414="","",$A414&amp;"|"&amp;$F414)</f>
        <v/>
      </c>
    </row>
    <row r="415">
      <c r="A415">
        <f>IF(AND(진행중!D50&lt;&gt;"",진행중!V50&lt;&gt;"",진행중!T50&lt;&gt;"",진행중!T50&lt;&gt;"X",진행중!AA50&lt;&gt;"완료"),진행중!T50,"")</f>
        <v/>
      </c>
      <c r="B415">
        <f>IF($A415="","",진행중!D50)</f>
        <v/>
      </c>
      <c r="C415" t="inlineStr">
        <is>
          <t>조적</t>
        </is>
      </c>
      <c r="D415" s="22">
        <f>IF($A415="","",진행중!V50)</f>
        <v/>
      </c>
      <c r="E415" s="22">
        <f>IF($A415="","",IF(VLOOKUP($C415,설정!$A$4:$B$12,2,0)=0,진행중!W50,MIN(WORKDAY(진행중!V50,VLOOKUP($C415,설정!$A$4:$B$12,2,0)-1),진행중!W50)))</f>
        <v/>
      </c>
      <c r="F415">
        <f>IF($A415="","",COUNTIF($A$2:$A415,$A415))</f>
        <v/>
      </c>
      <c r="G415">
        <f>IF($A415="","",$A415&amp;"|"&amp;$F415)</f>
        <v/>
      </c>
    </row>
    <row r="416">
      <c r="A416">
        <f>IF(AND(진행중!D51&lt;&gt;"",진행중!V51&lt;&gt;"",진행중!L51&lt;&gt;"",진행중!L51&lt;&gt;"X",진행중!AA51&lt;&gt;"완료"),진행중!L51,"")</f>
        <v/>
      </c>
      <c r="B416">
        <f>IF($A416="","",진행중!D51)</f>
        <v/>
      </c>
      <c r="C416" t="inlineStr">
        <is>
          <t>PM</t>
        </is>
      </c>
      <c r="D416" s="22">
        <f>IF($A416="","",진행중!V51)</f>
        <v/>
      </c>
      <c r="E416" s="22">
        <f>IF($A416="","",IF(VLOOKUP($C416,설정!$A$4:$B$12,2,0)=0,진행중!W51,MIN(WORKDAY(진행중!V51,VLOOKUP($C416,설정!$A$4:$B$12,2,0)-1),진행중!W51)))</f>
        <v/>
      </c>
      <c r="F416">
        <f>IF($A416="","",COUNTIF($A$2:$A416,$A416))</f>
        <v/>
      </c>
      <c r="G416">
        <f>IF($A416="","",$A416&amp;"|"&amp;$F416)</f>
        <v/>
      </c>
    </row>
    <row r="417">
      <c r="A417">
        <f>IF(AND(진행중!D51&lt;&gt;"",진행중!V51&lt;&gt;"",진행중!M51&lt;&gt;"",진행중!M51&lt;&gt;"X",진행중!AA51&lt;&gt;"완료"),진행중!M51,"")</f>
        <v/>
      </c>
      <c r="B417">
        <f>IF($A417="","",진행중!D51)</f>
        <v/>
      </c>
      <c r="C417" t="inlineStr">
        <is>
          <t>검토</t>
        </is>
      </c>
      <c r="D417" s="22">
        <f>IF($A417="","",진행중!V51)</f>
        <v/>
      </c>
      <c r="E417" s="22">
        <f>IF($A417="","",IF(VLOOKUP($C417,설정!$A$4:$B$12,2,0)=0,진행중!W51,MIN(WORKDAY(진행중!V51,VLOOKUP($C417,설정!$A$4:$B$12,2,0)-1),진행중!W51)))</f>
        <v/>
      </c>
      <c r="F417">
        <f>IF($A417="","",COUNTIF($A$2:$A417,$A417))</f>
        <v/>
      </c>
      <c r="G417">
        <f>IF($A417="","",$A417&amp;"|"&amp;$F417)</f>
        <v/>
      </c>
    </row>
    <row r="418">
      <c r="A418">
        <f>IF(AND(진행중!D51&lt;&gt;"",진행중!V51&lt;&gt;"",진행중!N51&lt;&gt;"",진행중!N51&lt;&gt;"X",진행중!AA51&lt;&gt;"완료"),진행중!N51,"")</f>
        <v/>
      </c>
      <c r="B418">
        <f>IF($A418="","",진행중!D51)</f>
        <v/>
      </c>
      <c r="C418" t="inlineStr">
        <is>
          <t>내역</t>
        </is>
      </c>
      <c r="D418" s="22">
        <f>IF($A418="","",진행중!V51)</f>
        <v/>
      </c>
      <c r="E418" s="22">
        <f>IF($A418="","",IF(VLOOKUP($C418,설정!$A$4:$B$12,2,0)=0,진행중!W51,MIN(WORKDAY(진행중!V51,VLOOKUP($C418,설정!$A$4:$B$12,2,0)-1),진행중!W51)))</f>
        <v/>
      </c>
      <c r="F418">
        <f>IF($A418="","",COUNTIF($A$2:$A418,$A418))</f>
        <v/>
      </c>
      <c r="G418">
        <f>IF($A418="","",$A418&amp;"|"&amp;$F418)</f>
        <v/>
      </c>
    </row>
    <row r="419">
      <c r="A419">
        <f>IF(AND(진행중!D51&lt;&gt;"",진행중!V51&lt;&gt;"",진행중!O51&lt;&gt;"",진행중!O51&lt;&gt;"X",진행중!AA51&lt;&gt;"완료"),진행중!O51,"")</f>
        <v/>
      </c>
      <c r="B419">
        <f>IF($A419="","",진행중!D51)</f>
        <v/>
      </c>
      <c r="C419" t="inlineStr">
        <is>
          <t>가설</t>
        </is>
      </c>
      <c r="D419" s="22">
        <f>IF($A419="","",진행중!V51)</f>
        <v/>
      </c>
      <c r="E419" s="22">
        <f>IF($A419="","",IF(VLOOKUP($C419,설정!$A$4:$B$12,2,0)=0,진행중!W51,MIN(WORKDAY(진행중!V51,VLOOKUP($C419,설정!$A$4:$B$12,2,0)-1),진행중!W51)))</f>
        <v/>
      </c>
      <c r="F419">
        <f>IF($A419="","",COUNTIF($A$2:$A419,$A419))</f>
        <v/>
      </c>
      <c r="G419">
        <f>IF($A419="","",$A419&amp;"|"&amp;$F419)</f>
        <v/>
      </c>
    </row>
    <row r="420">
      <c r="A420">
        <f>IF(AND(진행중!D51&lt;&gt;"",진행중!V51&lt;&gt;"",진행중!P51&lt;&gt;"",진행중!P51&lt;&gt;"X",진행중!AA51&lt;&gt;"완료"),진행중!P51,"")</f>
        <v/>
      </c>
      <c r="B420">
        <f>IF($A420="","",진행중!D51)</f>
        <v/>
      </c>
      <c r="C420" t="inlineStr">
        <is>
          <t>세대</t>
        </is>
      </c>
      <c r="D420" s="22">
        <f>IF($A420="","",진행중!V51)</f>
        <v/>
      </c>
      <c r="E420" s="22">
        <f>IF($A420="","",IF(VLOOKUP($C420,설정!$A$4:$B$12,2,0)=0,진행중!W51,MIN(WORKDAY(진행중!V51,VLOOKUP($C420,설정!$A$4:$B$12,2,0)-1),진행중!W51)))</f>
        <v/>
      </c>
      <c r="F420">
        <f>IF($A420="","",COUNTIF($A$2:$A420,$A420))</f>
        <v/>
      </c>
      <c r="G420">
        <f>IF($A420="","",$A420&amp;"|"&amp;$F420)</f>
        <v/>
      </c>
    </row>
    <row r="421">
      <c r="A421">
        <f>IF(AND(진행중!D51&lt;&gt;"",진행중!V51&lt;&gt;"",진행중!Q51&lt;&gt;"",진행중!Q51&lt;&gt;"X",진행중!AA51&lt;&gt;"완료"),진행중!Q51,"")</f>
        <v/>
      </c>
      <c r="B421">
        <f>IF($A421="","",진행중!D51)</f>
        <v/>
      </c>
      <c r="C421" t="inlineStr">
        <is>
          <t>내부</t>
        </is>
      </c>
      <c r="D421" s="22">
        <f>IF($A421="","",진행중!V51)</f>
        <v/>
      </c>
      <c r="E421" s="22">
        <f>IF($A421="","",IF(VLOOKUP($C421,설정!$A$4:$B$12,2,0)=0,진행중!W51,MIN(WORKDAY(진행중!V51,VLOOKUP($C421,설정!$A$4:$B$12,2,0)-1),진행중!W51)))</f>
        <v/>
      </c>
      <c r="F421">
        <f>IF($A421="","",COUNTIF($A$2:$A421,$A421))</f>
        <v/>
      </c>
      <c r="G421">
        <f>IF($A421="","",$A421&amp;"|"&amp;$F421)</f>
        <v/>
      </c>
    </row>
    <row r="422">
      <c r="A422">
        <f>IF(AND(진행중!D51&lt;&gt;"",진행중!V51&lt;&gt;"",진행중!R51&lt;&gt;"",진행중!R51&lt;&gt;"X",진행중!AA51&lt;&gt;"완료"),진행중!R51,"")</f>
        <v/>
      </c>
      <c r="B422">
        <f>IF($A422="","",진행중!D51)</f>
        <v/>
      </c>
      <c r="C422" t="inlineStr">
        <is>
          <t>외부</t>
        </is>
      </c>
      <c r="D422" s="22">
        <f>IF($A422="","",진행중!V51)</f>
        <v/>
      </c>
      <c r="E422" s="22">
        <f>IF($A422="","",IF(VLOOKUP($C422,설정!$A$4:$B$12,2,0)=0,진행중!W51,MIN(WORKDAY(진행중!V51,VLOOKUP($C422,설정!$A$4:$B$12,2,0)-1),진행중!W51)))</f>
        <v/>
      </c>
      <c r="F422">
        <f>IF($A422="","",COUNTIF($A$2:$A422,$A422))</f>
        <v/>
      </c>
      <c r="G422">
        <f>IF($A422="","",$A422&amp;"|"&amp;$F422)</f>
        <v/>
      </c>
    </row>
    <row r="423">
      <c r="A423">
        <f>IF(AND(진행중!D51&lt;&gt;"",진행중!V51&lt;&gt;"",진행중!S51&lt;&gt;"",진행중!S51&lt;&gt;"X",진행중!AA51&lt;&gt;"완료"),진행중!S51,"")</f>
        <v/>
      </c>
      <c r="B423">
        <f>IF($A423="","",진행중!D51)</f>
        <v/>
      </c>
      <c r="C423" t="inlineStr">
        <is>
          <t>창호</t>
        </is>
      </c>
      <c r="D423" s="22">
        <f>IF($A423="","",진행중!V51)</f>
        <v/>
      </c>
      <c r="E423" s="22">
        <f>IF($A423="","",IF(VLOOKUP($C423,설정!$A$4:$B$12,2,0)=0,진행중!W51,MIN(WORKDAY(진행중!V51,VLOOKUP($C423,설정!$A$4:$B$12,2,0)-1),진행중!W51)))</f>
        <v/>
      </c>
      <c r="F423">
        <f>IF($A423="","",COUNTIF($A$2:$A423,$A423))</f>
        <v/>
      </c>
      <c r="G423">
        <f>IF($A423="","",$A423&amp;"|"&amp;$F423)</f>
        <v/>
      </c>
    </row>
    <row r="424">
      <c r="A424">
        <f>IF(AND(진행중!D51&lt;&gt;"",진행중!V51&lt;&gt;"",진행중!T51&lt;&gt;"",진행중!T51&lt;&gt;"X",진행중!AA51&lt;&gt;"완료"),진행중!T51,"")</f>
        <v/>
      </c>
      <c r="B424">
        <f>IF($A424="","",진행중!D51)</f>
        <v/>
      </c>
      <c r="C424" t="inlineStr">
        <is>
          <t>조적</t>
        </is>
      </c>
      <c r="D424" s="22">
        <f>IF($A424="","",진행중!V51)</f>
        <v/>
      </c>
      <c r="E424" s="22">
        <f>IF($A424="","",IF(VLOOKUP($C424,설정!$A$4:$B$12,2,0)=0,진행중!W51,MIN(WORKDAY(진행중!V51,VLOOKUP($C424,설정!$A$4:$B$12,2,0)-1),진행중!W51)))</f>
        <v/>
      </c>
      <c r="F424">
        <f>IF($A424="","",COUNTIF($A$2:$A424,$A424))</f>
        <v/>
      </c>
      <c r="G424">
        <f>IF($A424="","",$A424&amp;"|"&amp;$F424)</f>
        <v/>
      </c>
    </row>
    <row r="425">
      <c r="A425">
        <f>IF(AND(진행중!D52&lt;&gt;"",진행중!V52&lt;&gt;"",진행중!L52&lt;&gt;"",진행중!L52&lt;&gt;"X",진행중!AA52&lt;&gt;"완료"),진행중!L52,"")</f>
        <v/>
      </c>
      <c r="B425">
        <f>IF($A425="","",진행중!D52)</f>
        <v/>
      </c>
      <c r="C425" t="inlineStr">
        <is>
          <t>PM</t>
        </is>
      </c>
      <c r="D425" s="22">
        <f>IF($A425="","",진행중!V52)</f>
        <v/>
      </c>
      <c r="E425" s="22">
        <f>IF($A425="","",IF(VLOOKUP($C425,설정!$A$4:$B$12,2,0)=0,진행중!W52,MIN(WORKDAY(진행중!V52,VLOOKUP($C425,설정!$A$4:$B$12,2,0)-1),진행중!W52)))</f>
        <v/>
      </c>
      <c r="F425">
        <f>IF($A425="","",COUNTIF($A$2:$A425,$A425))</f>
        <v/>
      </c>
      <c r="G425">
        <f>IF($A425="","",$A425&amp;"|"&amp;$F425)</f>
        <v/>
      </c>
    </row>
    <row r="426">
      <c r="A426">
        <f>IF(AND(진행중!D52&lt;&gt;"",진행중!V52&lt;&gt;"",진행중!M52&lt;&gt;"",진행중!M52&lt;&gt;"X",진행중!AA52&lt;&gt;"완료"),진행중!M52,"")</f>
        <v/>
      </c>
      <c r="B426">
        <f>IF($A426="","",진행중!D52)</f>
        <v/>
      </c>
      <c r="C426" t="inlineStr">
        <is>
          <t>검토</t>
        </is>
      </c>
      <c r="D426" s="22">
        <f>IF($A426="","",진행중!V52)</f>
        <v/>
      </c>
      <c r="E426" s="22">
        <f>IF($A426="","",IF(VLOOKUP($C426,설정!$A$4:$B$12,2,0)=0,진행중!W52,MIN(WORKDAY(진행중!V52,VLOOKUP($C426,설정!$A$4:$B$12,2,0)-1),진행중!W52)))</f>
        <v/>
      </c>
      <c r="F426">
        <f>IF($A426="","",COUNTIF($A$2:$A426,$A426))</f>
        <v/>
      </c>
      <c r="G426">
        <f>IF($A426="","",$A426&amp;"|"&amp;$F426)</f>
        <v/>
      </c>
    </row>
    <row r="427">
      <c r="A427">
        <f>IF(AND(진행중!D52&lt;&gt;"",진행중!V52&lt;&gt;"",진행중!N52&lt;&gt;"",진행중!N52&lt;&gt;"X",진행중!AA52&lt;&gt;"완료"),진행중!N52,"")</f>
        <v/>
      </c>
      <c r="B427">
        <f>IF($A427="","",진행중!D52)</f>
        <v/>
      </c>
      <c r="C427" t="inlineStr">
        <is>
          <t>내역</t>
        </is>
      </c>
      <c r="D427" s="22">
        <f>IF($A427="","",진행중!V52)</f>
        <v/>
      </c>
      <c r="E427" s="22">
        <f>IF($A427="","",IF(VLOOKUP($C427,설정!$A$4:$B$12,2,0)=0,진행중!W52,MIN(WORKDAY(진행중!V52,VLOOKUP($C427,설정!$A$4:$B$12,2,0)-1),진행중!W52)))</f>
        <v/>
      </c>
      <c r="F427">
        <f>IF($A427="","",COUNTIF($A$2:$A427,$A427))</f>
        <v/>
      </c>
      <c r="G427">
        <f>IF($A427="","",$A427&amp;"|"&amp;$F427)</f>
        <v/>
      </c>
    </row>
    <row r="428">
      <c r="A428">
        <f>IF(AND(진행중!D52&lt;&gt;"",진행중!V52&lt;&gt;"",진행중!O52&lt;&gt;"",진행중!O52&lt;&gt;"X",진행중!AA52&lt;&gt;"완료"),진행중!O52,"")</f>
        <v/>
      </c>
      <c r="B428">
        <f>IF($A428="","",진행중!D52)</f>
        <v/>
      </c>
      <c r="C428" t="inlineStr">
        <is>
          <t>가설</t>
        </is>
      </c>
      <c r="D428" s="22">
        <f>IF($A428="","",진행중!V52)</f>
        <v/>
      </c>
      <c r="E428" s="22">
        <f>IF($A428="","",IF(VLOOKUP($C428,설정!$A$4:$B$12,2,0)=0,진행중!W52,MIN(WORKDAY(진행중!V52,VLOOKUP($C428,설정!$A$4:$B$12,2,0)-1),진행중!W52)))</f>
        <v/>
      </c>
      <c r="F428">
        <f>IF($A428="","",COUNTIF($A$2:$A428,$A428))</f>
        <v/>
      </c>
      <c r="G428">
        <f>IF($A428="","",$A428&amp;"|"&amp;$F428)</f>
        <v/>
      </c>
    </row>
    <row r="429">
      <c r="A429">
        <f>IF(AND(진행중!D52&lt;&gt;"",진행중!V52&lt;&gt;"",진행중!P52&lt;&gt;"",진행중!P52&lt;&gt;"X",진행중!AA52&lt;&gt;"완료"),진행중!P52,"")</f>
        <v/>
      </c>
      <c r="B429">
        <f>IF($A429="","",진행중!D52)</f>
        <v/>
      </c>
      <c r="C429" t="inlineStr">
        <is>
          <t>세대</t>
        </is>
      </c>
      <c r="D429" s="22">
        <f>IF($A429="","",진행중!V52)</f>
        <v/>
      </c>
      <c r="E429" s="22">
        <f>IF($A429="","",IF(VLOOKUP($C429,설정!$A$4:$B$12,2,0)=0,진행중!W52,MIN(WORKDAY(진행중!V52,VLOOKUP($C429,설정!$A$4:$B$12,2,0)-1),진행중!W52)))</f>
        <v/>
      </c>
      <c r="F429">
        <f>IF($A429="","",COUNTIF($A$2:$A429,$A429))</f>
        <v/>
      </c>
      <c r="G429">
        <f>IF($A429="","",$A429&amp;"|"&amp;$F429)</f>
        <v/>
      </c>
    </row>
    <row r="430">
      <c r="A430">
        <f>IF(AND(진행중!D52&lt;&gt;"",진행중!V52&lt;&gt;"",진행중!Q52&lt;&gt;"",진행중!Q52&lt;&gt;"X",진행중!AA52&lt;&gt;"완료"),진행중!Q52,"")</f>
        <v/>
      </c>
      <c r="B430">
        <f>IF($A430="","",진행중!D52)</f>
        <v/>
      </c>
      <c r="C430" t="inlineStr">
        <is>
          <t>내부</t>
        </is>
      </c>
      <c r="D430" s="22">
        <f>IF($A430="","",진행중!V52)</f>
        <v/>
      </c>
      <c r="E430" s="22">
        <f>IF($A430="","",IF(VLOOKUP($C430,설정!$A$4:$B$12,2,0)=0,진행중!W52,MIN(WORKDAY(진행중!V52,VLOOKUP($C430,설정!$A$4:$B$12,2,0)-1),진행중!W52)))</f>
        <v/>
      </c>
      <c r="F430">
        <f>IF($A430="","",COUNTIF($A$2:$A430,$A430))</f>
        <v/>
      </c>
      <c r="G430">
        <f>IF($A430="","",$A430&amp;"|"&amp;$F430)</f>
        <v/>
      </c>
    </row>
    <row r="431">
      <c r="A431">
        <f>IF(AND(진행중!D52&lt;&gt;"",진행중!V52&lt;&gt;"",진행중!R52&lt;&gt;"",진행중!R52&lt;&gt;"X",진행중!AA52&lt;&gt;"완료"),진행중!R52,"")</f>
        <v/>
      </c>
      <c r="B431">
        <f>IF($A431="","",진행중!D52)</f>
        <v/>
      </c>
      <c r="C431" t="inlineStr">
        <is>
          <t>외부</t>
        </is>
      </c>
      <c r="D431" s="22">
        <f>IF($A431="","",진행중!V52)</f>
        <v/>
      </c>
      <c r="E431" s="22">
        <f>IF($A431="","",IF(VLOOKUP($C431,설정!$A$4:$B$12,2,0)=0,진행중!W52,MIN(WORKDAY(진행중!V52,VLOOKUP($C431,설정!$A$4:$B$12,2,0)-1),진행중!W52)))</f>
        <v/>
      </c>
      <c r="F431">
        <f>IF($A431="","",COUNTIF($A$2:$A431,$A431))</f>
        <v/>
      </c>
      <c r="G431">
        <f>IF($A431="","",$A431&amp;"|"&amp;$F431)</f>
        <v/>
      </c>
    </row>
    <row r="432">
      <c r="A432">
        <f>IF(AND(진행중!D52&lt;&gt;"",진행중!V52&lt;&gt;"",진행중!S52&lt;&gt;"",진행중!S52&lt;&gt;"X",진행중!AA52&lt;&gt;"완료"),진행중!S52,"")</f>
        <v/>
      </c>
      <c r="B432">
        <f>IF($A432="","",진행중!D52)</f>
        <v/>
      </c>
      <c r="C432" t="inlineStr">
        <is>
          <t>창호</t>
        </is>
      </c>
      <c r="D432" s="22">
        <f>IF($A432="","",진행중!V52)</f>
        <v/>
      </c>
      <c r="E432" s="22">
        <f>IF($A432="","",IF(VLOOKUP($C432,설정!$A$4:$B$12,2,0)=0,진행중!W52,MIN(WORKDAY(진행중!V52,VLOOKUP($C432,설정!$A$4:$B$12,2,0)-1),진행중!W52)))</f>
        <v/>
      </c>
      <c r="F432">
        <f>IF($A432="","",COUNTIF($A$2:$A432,$A432))</f>
        <v/>
      </c>
      <c r="G432">
        <f>IF($A432="","",$A432&amp;"|"&amp;$F432)</f>
        <v/>
      </c>
    </row>
    <row r="433">
      <c r="A433">
        <f>IF(AND(진행중!D52&lt;&gt;"",진행중!V52&lt;&gt;"",진행중!T52&lt;&gt;"",진행중!T52&lt;&gt;"X",진행중!AA52&lt;&gt;"완료"),진행중!T52,"")</f>
        <v/>
      </c>
      <c r="B433">
        <f>IF($A433="","",진행중!D52)</f>
        <v/>
      </c>
      <c r="C433" t="inlineStr">
        <is>
          <t>조적</t>
        </is>
      </c>
      <c r="D433" s="22">
        <f>IF($A433="","",진행중!V52)</f>
        <v/>
      </c>
      <c r="E433" s="22">
        <f>IF($A433="","",IF(VLOOKUP($C433,설정!$A$4:$B$12,2,0)=0,진행중!W52,MIN(WORKDAY(진행중!V52,VLOOKUP($C433,설정!$A$4:$B$12,2,0)-1),진행중!W52)))</f>
        <v/>
      </c>
      <c r="F433">
        <f>IF($A433="","",COUNTIF($A$2:$A433,$A433))</f>
        <v/>
      </c>
      <c r="G433">
        <f>IF($A433="","",$A433&amp;"|"&amp;$F433)</f>
        <v/>
      </c>
    </row>
    <row r="434">
      <c r="A434">
        <f>IF(AND(진행중!D53&lt;&gt;"",진행중!V53&lt;&gt;"",진행중!L53&lt;&gt;"",진행중!L53&lt;&gt;"X",진행중!AA53&lt;&gt;"완료"),진행중!L53,"")</f>
        <v/>
      </c>
      <c r="B434">
        <f>IF($A434="","",진행중!D53)</f>
        <v/>
      </c>
      <c r="C434" t="inlineStr">
        <is>
          <t>PM</t>
        </is>
      </c>
      <c r="D434" s="22">
        <f>IF($A434="","",진행중!V53)</f>
        <v/>
      </c>
      <c r="E434" s="22">
        <f>IF($A434="","",IF(VLOOKUP($C434,설정!$A$4:$B$12,2,0)=0,진행중!W53,MIN(WORKDAY(진행중!V53,VLOOKUP($C434,설정!$A$4:$B$12,2,0)-1),진행중!W53)))</f>
        <v/>
      </c>
      <c r="F434">
        <f>IF($A434="","",COUNTIF($A$2:$A434,$A434))</f>
        <v/>
      </c>
      <c r="G434">
        <f>IF($A434="","",$A434&amp;"|"&amp;$F434)</f>
        <v/>
      </c>
    </row>
    <row r="435">
      <c r="A435">
        <f>IF(AND(진행중!D53&lt;&gt;"",진행중!V53&lt;&gt;"",진행중!M53&lt;&gt;"",진행중!M53&lt;&gt;"X",진행중!AA53&lt;&gt;"완료"),진행중!M53,"")</f>
        <v/>
      </c>
      <c r="B435">
        <f>IF($A435="","",진행중!D53)</f>
        <v/>
      </c>
      <c r="C435" t="inlineStr">
        <is>
          <t>검토</t>
        </is>
      </c>
      <c r="D435" s="22">
        <f>IF($A435="","",진행중!V53)</f>
        <v/>
      </c>
      <c r="E435" s="22">
        <f>IF($A435="","",IF(VLOOKUP($C435,설정!$A$4:$B$12,2,0)=0,진행중!W53,MIN(WORKDAY(진행중!V53,VLOOKUP($C435,설정!$A$4:$B$12,2,0)-1),진행중!W53)))</f>
        <v/>
      </c>
      <c r="F435">
        <f>IF($A435="","",COUNTIF($A$2:$A435,$A435))</f>
        <v/>
      </c>
      <c r="G435">
        <f>IF($A435="","",$A435&amp;"|"&amp;$F435)</f>
        <v/>
      </c>
    </row>
    <row r="436">
      <c r="A436">
        <f>IF(AND(진행중!D53&lt;&gt;"",진행중!V53&lt;&gt;"",진행중!N53&lt;&gt;"",진행중!N53&lt;&gt;"X",진행중!AA53&lt;&gt;"완료"),진행중!N53,"")</f>
        <v/>
      </c>
      <c r="B436">
        <f>IF($A436="","",진행중!D53)</f>
        <v/>
      </c>
      <c r="C436" t="inlineStr">
        <is>
          <t>내역</t>
        </is>
      </c>
      <c r="D436" s="22">
        <f>IF($A436="","",진행중!V53)</f>
        <v/>
      </c>
      <c r="E436" s="22">
        <f>IF($A436="","",IF(VLOOKUP($C436,설정!$A$4:$B$12,2,0)=0,진행중!W53,MIN(WORKDAY(진행중!V53,VLOOKUP($C436,설정!$A$4:$B$12,2,0)-1),진행중!W53)))</f>
        <v/>
      </c>
      <c r="F436">
        <f>IF($A436="","",COUNTIF($A$2:$A436,$A436))</f>
        <v/>
      </c>
      <c r="G436">
        <f>IF($A436="","",$A436&amp;"|"&amp;$F436)</f>
        <v/>
      </c>
    </row>
    <row r="437">
      <c r="A437">
        <f>IF(AND(진행중!D53&lt;&gt;"",진행중!V53&lt;&gt;"",진행중!O53&lt;&gt;"",진행중!O53&lt;&gt;"X",진행중!AA53&lt;&gt;"완료"),진행중!O53,"")</f>
        <v/>
      </c>
      <c r="B437">
        <f>IF($A437="","",진행중!D53)</f>
        <v/>
      </c>
      <c r="C437" t="inlineStr">
        <is>
          <t>가설</t>
        </is>
      </c>
      <c r="D437" s="22">
        <f>IF($A437="","",진행중!V53)</f>
        <v/>
      </c>
      <c r="E437" s="22">
        <f>IF($A437="","",IF(VLOOKUP($C437,설정!$A$4:$B$12,2,0)=0,진행중!W53,MIN(WORKDAY(진행중!V53,VLOOKUP($C437,설정!$A$4:$B$12,2,0)-1),진행중!W53)))</f>
        <v/>
      </c>
      <c r="F437">
        <f>IF($A437="","",COUNTIF($A$2:$A437,$A437))</f>
        <v/>
      </c>
      <c r="G437">
        <f>IF($A437="","",$A437&amp;"|"&amp;$F437)</f>
        <v/>
      </c>
    </row>
    <row r="438">
      <c r="A438">
        <f>IF(AND(진행중!D53&lt;&gt;"",진행중!V53&lt;&gt;"",진행중!P53&lt;&gt;"",진행중!P53&lt;&gt;"X",진행중!AA53&lt;&gt;"완료"),진행중!P53,"")</f>
        <v/>
      </c>
      <c r="B438">
        <f>IF($A438="","",진행중!D53)</f>
        <v/>
      </c>
      <c r="C438" t="inlineStr">
        <is>
          <t>세대</t>
        </is>
      </c>
      <c r="D438" s="22">
        <f>IF($A438="","",진행중!V53)</f>
        <v/>
      </c>
      <c r="E438" s="22">
        <f>IF($A438="","",IF(VLOOKUP($C438,설정!$A$4:$B$12,2,0)=0,진행중!W53,MIN(WORKDAY(진행중!V53,VLOOKUP($C438,설정!$A$4:$B$12,2,0)-1),진행중!W53)))</f>
        <v/>
      </c>
      <c r="F438">
        <f>IF($A438="","",COUNTIF($A$2:$A438,$A438))</f>
        <v/>
      </c>
      <c r="G438">
        <f>IF($A438="","",$A438&amp;"|"&amp;$F438)</f>
        <v/>
      </c>
    </row>
    <row r="439">
      <c r="A439">
        <f>IF(AND(진행중!D53&lt;&gt;"",진행중!V53&lt;&gt;"",진행중!Q53&lt;&gt;"",진행중!Q53&lt;&gt;"X",진행중!AA53&lt;&gt;"완료"),진행중!Q53,"")</f>
        <v/>
      </c>
      <c r="B439">
        <f>IF($A439="","",진행중!D53)</f>
        <v/>
      </c>
      <c r="C439" t="inlineStr">
        <is>
          <t>내부</t>
        </is>
      </c>
      <c r="D439" s="22">
        <f>IF($A439="","",진행중!V53)</f>
        <v/>
      </c>
      <c r="E439" s="22">
        <f>IF($A439="","",IF(VLOOKUP($C439,설정!$A$4:$B$12,2,0)=0,진행중!W53,MIN(WORKDAY(진행중!V53,VLOOKUP($C439,설정!$A$4:$B$12,2,0)-1),진행중!W53)))</f>
        <v/>
      </c>
      <c r="F439">
        <f>IF($A439="","",COUNTIF($A$2:$A439,$A439))</f>
        <v/>
      </c>
      <c r="G439">
        <f>IF($A439="","",$A439&amp;"|"&amp;$F439)</f>
        <v/>
      </c>
    </row>
    <row r="440">
      <c r="A440">
        <f>IF(AND(진행중!D53&lt;&gt;"",진행중!V53&lt;&gt;"",진행중!R53&lt;&gt;"",진행중!R53&lt;&gt;"X",진행중!AA53&lt;&gt;"완료"),진행중!R53,"")</f>
        <v/>
      </c>
      <c r="B440">
        <f>IF($A440="","",진행중!D53)</f>
        <v/>
      </c>
      <c r="C440" t="inlineStr">
        <is>
          <t>외부</t>
        </is>
      </c>
      <c r="D440" s="22">
        <f>IF($A440="","",진행중!V53)</f>
        <v/>
      </c>
      <c r="E440" s="22">
        <f>IF($A440="","",IF(VLOOKUP($C440,설정!$A$4:$B$12,2,0)=0,진행중!W53,MIN(WORKDAY(진행중!V53,VLOOKUP($C440,설정!$A$4:$B$12,2,0)-1),진행중!W53)))</f>
        <v/>
      </c>
      <c r="F440">
        <f>IF($A440="","",COUNTIF($A$2:$A440,$A440))</f>
        <v/>
      </c>
      <c r="G440">
        <f>IF($A440="","",$A440&amp;"|"&amp;$F440)</f>
        <v/>
      </c>
    </row>
    <row r="441">
      <c r="A441">
        <f>IF(AND(진행중!D53&lt;&gt;"",진행중!V53&lt;&gt;"",진행중!S53&lt;&gt;"",진행중!S53&lt;&gt;"X",진행중!AA53&lt;&gt;"완료"),진행중!S53,"")</f>
        <v/>
      </c>
      <c r="B441">
        <f>IF($A441="","",진행중!D53)</f>
        <v/>
      </c>
      <c r="C441" t="inlineStr">
        <is>
          <t>창호</t>
        </is>
      </c>
      <c r="D441" s="22">
        <f>IF($A441="","",진행중!V53)</f>
        <v/>
      </c>
      <c r="E441" s="22">
        <f>IF($A441="","",IF(VLOOKUP($C441,설정!$A$4:$B$12,2,0)=0,진행중!W53,MIN(WORKDAY(진행중!V53,VLOOKUP($C441,설정!$A$4:$B$12,2,0)-1),진행중!W53)))</f>
        <v/>
      </c>
      <c r="F441">
        <f>IF($A441="","",COUNTIF($A$2:$A441,$A441))</f>
        <v/>
      </c>
      <c r="G441">
        <f>IF($A441="","",$A441&amp;"|"&amp;$F441)</f>
        <v/>
      </c>
    </row>
    <row r="442">
      <c r="A442">
        <f>IF(AND(진행중!D53&lt;&gt;"",진행중!V53&lt;&gt;"",진행중!T53&lt;&gt;"",진행중!T53&lt;&gt;"X",진행중!AA53&lt;&gt;"완료"),진행중!T53,"")</f>
        <v/>
      </c>
      <c r="B442">
        <f>IF($A442="","",진행중!D53)</f>
        <v/>
      </c>
      <c r="C442" t="inlineStr">
        <is>
          <t>조적</t>
        </is>
      </c>
      <c r="D442" s="22">
        <f>IF($A442="","",진행중!V53)</f>
        <v/>
      </c>
      <c r="E442" s="22">
        <f>IF($A442="","",IF(VLOOKUP($C442,설정!$A$4:$B$12,2,0)=0,진행중!W53,MIN(WORKDAY(진행중!V53,VLOOKUP($C442,설정!$A$4:$B$12,2,0)-1),진행중!W53)))</f>
        <v/>
      </c>
      <c r="F442">
        <f>IF($A442="","",COUNTIF($A$2:$A442,$A442))</f>
        <v/>
      </c>
      <c r="G442">
        <f>IF($A442="","",$A442&amp;"|"&amp;$F442)</f>
        <v/>
      </c>
    </row>
    <row r="443">
      <c r="A443">
        <f>IF(AND(진행중!D54&lt;&gt;"",진행중!V54&lt;&gt;"",진행중!L54&lt;&gt;"",진행중!L54&lt;&gt;"X",진행중!AA54&lt;&gt;"완료"),진행중!L54,"")</f>
        <v/>
      </c>
      <c r="B443">
        <f>IF($A443="","",진행중!D54)</f>
        <v/>
      </c>
      <c r="C443" t="inlineStr">
        <is>
          <t>PM</t>
        </is>
      </c>
      <c r="D443" s="22">
        <f>IF($A443="","",진행중!V54)</f>
        <v/>
      </c>
      <c r="E443" s="22">
        <f>IF($A443="","",IF(VLOOKUP($C443,설정!$A$4:$B$12,2,0)=0,진행중!W54,MIN(WORKDAY(진행중!V54,VLOOKUP($C443,설정!$A$4:$B$12,2,0)-1),진행중!W54)))</f>
        <v/>
      </c>
      <c r="F443">
        <f>IF($A443="","",COUNTIF($A$2:$A443,$A443))</f>
        <v/>
      </c>
      <c r="G443">
        <f>IF($A443="","",$A443&amp;"|"&amp;$F443)</f>
        <v/>
      </c>
    </row>
    <row r="444">
      <c r="A444">
        <f>IF(AND(진행중!D54&lt;&gt;"",진행중!V54&lt;&gt;"",진행중!M54&lt;&gt;"",진행중!M54&lt;&gt;"X",진행중!AA54&lt;&gt;"완료"),진행중!M54,"")</f>
        <v/>
      </c>
      <c r="B444">
        <f>IF($A444="","",진행중!D54)</f>
        <v/>
      </c>
      <c r="C444" t="inlineStr">
        <is>
          <t>검토</t>
        </is>
      </c>
      <c r="D444" s="22">
        <f>IF($A444="","",진행중!V54)</f>
        <v/>
      </c>
      <c r="E444" s="22">
        <f>IF($A444="","",IF(VLOOKUP($C444,설정!$A$4:$B$12,2,0)=0,진행중!W54,MIN(WORKDAY(진행중!V54,VLOOKUP($C444,설정!$A$4:$B$12,2,0)-1),진행중!W54)))</f>
        <v/>
      </c>
      <c r="F444">
        <f>IF($A444="","",COUNTIF($A$2:$A444,$A444))</f>
        <v/>
      </c>
      <c r="G444">
        <f>IF($A444="","",$A444&amp;"|"&amp;$F444)</f>
        <v/>
      </c>
    </row>
    <row r="445">
      <c r="A445">
        <f>IF(AND(진행중!D54&lt;&gt;"",진행중!V54&lt;&gt;"",진행중!N54&lt;&gt;"",진행중!N54&lt;&gt;"X",진행중!AA54&lt;&gt;"완료"),진행중!N54,"")</f>
        <v/>
      </c>
      <c r="B445">
        <f>IF($A445="","",진행중!D54)</f>
        <v/>
      </c>
      <c r="C445" t="inlineStr">
        <is>
          <t>내역</t>
        </is>
      </c>
      <c r="D445" s="22">
        <f>IF($A445="","",진행중!V54)</f>
        <v/>
      </c>
      <c r="E445" s="22">
        <f>IF($A445="","",IF(VLOOKUP($C445,설정!$A$4:$B$12,2,0)=0,진행중!W54,MIN(WORKDAY(진행중!V54,VLOOKUP($C445,설정!$A$4:$B$12,2,0)-1),진행중!W54)))</f>
        <v/>
      </c>
      <c r="F445">
        <f>IF($A445="","",COUNTIF($A$2:$A445,$A445))</f>
        <v/>
      </c>
      <c r="G445">
        <f>IF($A445="","",$A445&amp;"|"&amp;$F445)</f>
        <v/>
      </c>
    </row>
    <row r="446">
      <c r="A446">
        <f>IF(AND(진행중!D54&lt;&gt;"",진행중!V54&lt;&gt;"",진행중!O54&lt;&gt;"",진행중!O54&lt;&gt;"X",진행중!AA54&lt;&gt;"완료"),진행중!O54,"")</f>
        <v/>
      </c>
      <c r="B446">
        <f>IF($A446="","",진행중!D54)</f>
        <v/>
      </c>
      <c r="C446" t="inlineStr">
        <is>
          <t>가설</t>
        </is>
      </c>
      <c r="D446" s="22">
        <f>IF($A446="","",진행중!V54)</f>
        <v/>
      </c>
      <c r="E446" s="22">
        <f>IF($A446="","",IF(VLOOKUP($C446,설정!$A$4:$B$12,2,0)=0,진행중!W54,MIN(WORKDAY(진행중!V54,VLOOKUP($C446,설정!$A$4:$B$12,2,0)-1),진행중!W54)))</f>
        <v/>
      </c>
      <c r="F446">
        <f>IF($A446="","",COUNTIF($A$2:$A446,$A446))</f>
        <v/>
      </c>
      <c r="G446">
        <f>IF($A446="","",$A446&amp;"|"&amp;$F446)</f>
        <v/>
      </c>
    </row>
    <row r="447">
      <c r="A447">
        <f>IF(AND(진행중!D54&lt;&gt;"",진행중!V54&lt;&gt;"",진행중!P54&lt;&gt;"",진행중!P54&lt;&gt;"X",진행중!AA54&lt;&gt;"완료"),진행중!P54,"")</f>
        <v/>
      </c>
      <c r="B447">
        <f>IF($A447="","",진행중!D54)</f>
        <v/>
      </c>
      <c r="C447" t="inlineStr">
        <is>
          <t>세대</t>
        </is>
      </c>
      <c r="D447" s="22">
        <f>IF($A447="","",진행중!V54)</f>
        <v/>
      </c>
      <c r="E447" s="22">
        <f>IF($A447="","",IF(VLOOKUP($C447,설정!$A$4:$B$12,2,0)=0,진행중!W54,MIN(WORKDAY(진행중!V54,VLOOKUP($C447,설정!$A$4:$B$12,2,0)-1),진행중!W54)))</f>
        <v/>
      </c>
      <c r="F447">
        <f>IF($A447="","",COUNTIF($A$2:$A447,$A447))</f>
        <v/>
      </c>
      <c r="G447">
        <f>IF($A447="","",$A447&amp;"|"&amp;$F447)</f>
        <v/>
      </c>
    </row>
    <row r="448">
      <c r="A448">
        <f>IF(AND(진행중!D54&lt;&gt;"",진행중!V54&lt;&gt;"",진행중!Q54&lt;&gt;"",진행중!Q54&lt;&gt;"X",진행중!AA54&lt;&gt;"완료"),진행중!Q54,"")</f>
        <v/>
      </c>
      <c r="B448">
        <f>IF($A448="","",진행중!D54)</f>
        <v/>
      </c>
      <c r="C448" t="inlineStr">
        <is>
          <t>내부</t>
        </is>
      </c>
      <c r="D448" s="22">
        <f>IF($A448="","",진행중!V54)</f>
        <v/>
      </c>
      <c r="E448" s="22">
        <f>IF($A448="","",IF(VLOOKUP($C448,설정!$A$4:$B$12,2,0)=0,진행중!W54,MIN(WORKDAY(진행중!V54,VLOOKUP($C448,설정!$A$4:$B$12,2,0)-1),진행중!W54)))</f>
        <v/>
      </c>
      <c r="F448">
        <f>IF($A448="","",COUNTIF($A$2:$A448,$A448))</f>
        <v/>
      </c>
      <c r="G448">
        <f>IF($A448="","",$A448&amp;"|"&amp;$F448)</f>
        <v/>
      </c>
    </row>
    <row r="449">
      <c r="A449">
        <f>IF(AND(진행중!D54&lt;&gt;"",진행중!V54&lt;&gt;"",진행중!R54&lt;&gt;"",진행중!R54&lt;&gt;"X",진행중!AA54&lt;&gt;"완료"),진행중!R54,"")</f>
        <v/>
      </c>
      <c r="B449">
        <f>IF($A449="","",진행중!D54)</f>
        <v/>
      </c>
      <c r="C449" t="inlineStr">
        <is>
          <t>외부</t>
        </is>
      </c>
      <c r="D449" s="22">
        <f>IF($A449="","",진행중!V54)</f>
        <v/>
      </c>
      <c r="E449" s="22">
        <f>IF($A449="","",IF(VLOOKUP($C449,설정!$A$4:$B$12,2,0)=0,진행중!W54,MIN(WORKDAY(진행중!V54,VLOOKUP($C449,설정!$A$4:$B$12,2,0)-1),진행중!W54)))</f>
        <v/>
      </c>
      <c r="F449">
        <f>IF($A449="","",COUNTIF($A$2:$A449,$A449))</f>
        <v/>
      </c>
      <c r="G449">
        <f>IF($A449="","",$A449&amp;"|"&amp;$F449)</f>
        <v/>
      </c>
    </row>
    <row r="450">
      <c r="A450">
        <f>IF(AND(진행중!D54&lt;&gt;"",진행중!V54&lt;&gt;"",진행중!S54&lt;&gt;"",진행중!S54&lt;&gt;"X",진행중!AA54&lt;&gt;"완료"),진행중!S54,"")</f>
        <v/>
      </c>
      <c r="B450">
        <f>IF($A450="","",진행중!D54)</f>
        <v/>
      </c>
      <c r="C450" t="inlineStr">
        <is>
          <t>창호</t>
        </is>
      </c>
      <c r="D450" s="22">
        <f>IF($A450="","",진행중!V54)</f>
        <v/>
      </c>
      <c r="E450" s="22">
        <f>IF($A450="","",IF(VLOOKUP($C450,설정!$A$4:$B$12,2,0)=0,진행중!W54,MIN(WORKDAY(진행중!V54,VLOOKUP($C450,설정!$A$4:$B$12,2,0)-1),진행중!W54)))</f>
        <v/>
      </c>
      <c r="F450">
        <f>IF($A450="","",COUNTIF($A$2:$A450,$A450))</f>
        <v/>
      </c>
      <c r="G450">
        <f>IF($A450="","",$A450&amp;"|"&amp;$F450)</f>
        <v/>
      </c>
    </row>
    <row r="451">
      <c r="A451">
        <f>IF(AND(진행중!D54&lt;&gt;"",진행중!V54&lt;&gt;"",진행중!T54&lt;&gt;"",진행중!T54&lt;&gt;"X",진행중!AA54&lt;&gt;"완료"),진행중!T54,"")</f>
        <v/>
      </c>
      <c r="B451">
        <f>IF($A451="","",진행중!D54)</f>
        <v/>
      </c>
      <c r="C451" t="inlineStr">
        <is>
          <t>조적</t>
        </is>
      </c>
      <c r="D451" s="22">
        <f>IF($A451="","",진행중!V54)</f>
        <v/>
      </c>
      <c r="E451" s="22">
        <f>IF($A451="","",IF(VLOOKUP($C451,설정!$A$4:$B$12,2,0)=0,진행중!W54,MIN(WORKDAY(진행중!V54,VLOOKUP($C451,설정!$A$4:$B$12,2,0)-1),진행중!W54)))</f>
        <v/>
      </c>
      <c r="F451">
        <f>IF($A451="","",COUNTIF($A$2:$A451,$A451))</f>
        <v/>
      </c>
      <c r="G451">
        <f>IF($A451="","",$A451&amp;"|"&amp;$F451)</f>
        <v/>
      </c>
    </row>
    <row r="452">
      <c r="A452">
        <f>IF(AND(진행중!D55&lt;&gt;"",진행중!V55&lt;&gt;"",진행중!L55&lt;&gt;"",진행중!L55&lt;&gt;"X",진행중!AA55&lt;&gt;"완료"),진행중!L55,"")</f>
        <v/>
      </c>
      <c r="B452">
        <f>IF($A452="","",진행중!D55)</f>
        <v/>
      </c>
      <c r="C452" t="inlineStr">
        <is>
          <t>PM</t>
        </is>
      </c>
      <c r="D452" s="22">
        <f>IF($A452="","",진행중!V55)</f>
        <v/>
      </c>
      <c r="E452" s="22">
        <f>IF($A452="","",IF(VLOOKUP($C452,설정!$A$4:$B$12,2,0)=0,진행중!W55,MIN(WORKDAY(진행중!V55,VLOOKUP($C452,설정!$A$4:$B$12,2,0)-1),진행중!W55)))</f>
        <v/>
      </c>
      <c r="F452">
        <f>IF($A452="","",COUNTIF($A$2:$A452,$A452))</f>
        <v/>
      </c>
      <c r="G452">
        <f>IF($A452="","",$A452&amp;"|"&amp;$F452)</f>
        <v/>
      </c>
    </row>
    <row r="453">
      <c r="A453">
        <f>IF(AND(진행중!D55&lt;&gt;"",진행중!V55&lt;&gt;"",진행중!M55&lt;&gt;"",진행중!M55&lt;&gt;"X",진행중!AA55&lt;&gt;"완료"),진행중!M55,"")</f>
        <v/>
      </c>
      <c r="B453">
        <f>IF($A453="","",진행중!D55)</f>
        <v/>
      </c>
      <c r="C453" t="inlineStr">
        <is>
          <t>검토</t>
        </is>
      </c>
      <c r="D453" s="22">
        <f>IF($A453="","",진행중!V55)</f>
        <v/>
      </c>
      <c r="E453" s="22">
        <f>IF($A453="","",IF(VLOOKUP($C453,설정!$A$4:$B$12,2,0)=0,진행중!W55,MIN(WORKDAY(진행중!V55,VLOOKUP($C453,설정!$A$4:$B$12,2,0)-1),진행중!W55)))</f>
        <v/>
      </c>
      <c r="F453">
        <f>IF($A453="","",COUNTIF($A$2:$A453,$A453))</f>
        <v/>
      </c>
      <c r="G453">
        <f>IF($A453="","",$A453&amp;"|"&amp;$F453)</f>
        <v/>
      </c>
    </row>
    <row r="454">
      <c r="A454">
        <f>IF(AND(진행중!D55&lt;&gt;"",진행중!V55&lt;&gt;"",진행중!N55&lt;&gt;"",진행중!N55&lt;&gt;"X",진행중!AA55&lt;&gt;"완료"),진행중!N55,"")</f>
        <v/>
      </c>
      <c r="B454">
        <f>IF($A454="","",진행중!D55)</f>
        <v/>
      </c>
      <c r="C454" t="inlineStr">
        <is>
          <t>내역</t>
        </is>
      </c>
      <c r="D454" s="22">
        <f>IF($A454="","",진행중!V55)</f>
        <v/>
      </c>
      <c r="E454" s="22">
        <f>IF($A454="","",IF(VLOOKUP($C454,설정!$A$4:$B$12,2,0)=0,진행중!W55,MIN(WORKDAY(진행중!V55,VLOOKUP($C454,설정!$A$4:$B$12,2,0)-1),진행중!W55)))</f>
        <v/>
      </c>
      <c r="F454">
        <f>IF($A454="","",COUNTIF($A$2:$A454,$A454))</f>
        <v/>
      </c>
      <c r="G454">
        <f>IF($A454="","",$A454&amp;"|"&amp;$F454)</f>
        <v/>
      </c>
    </row>
    <row r="455">
      <c r="A455">
        <f>IF(AND(진행중!D55&lt;&gt;"",진행중!V55&lt;&gt;"",진행중!O55&lt;&gt;"",진행중!O55&lt;&gt;"X",진행중!AA55&lt;&gt;"완료"),진행중!O55,"")</f>
        <v/>
      </c>
      <c r="B455">
        <f>IF($A455="","",진행중!D55)</f>
        <v/>
      </c>
      <c r="C455" t="inlineStr">
        <is>
          <t>가설</t>
        </is>
      </c>
      <c r="D455" s="22">
        <f>IF($A455="","",진행중!V55)</f>
        <v/>
      </c>
      <c r="E455" s="22">
        <f>IF($A455="","",IF(VLOOKUP($C455,설정!$A$4:$B$12,2,0)=0,진행중!W55,MIN(WORKDAY(진행중!V55,VLOOKUP($C455,설정!$A$4:$B$12,2,0)-1),진행중!W55)))</f>
        <v/>
      </c>
      <c r="F455">
        <f>IF($A455="","",COUNTIF($A$2:$A455,$A455))</f>
        <v/>
      </c>
      <c r="G455">
        <f>IF($A455="","",$A455&amp;"|"&amp;$F455)</f>
        <v/>
      </c>
    </row>
    <row r="456">
      <c r="A456">
        <f>IF(AND(진행중!D55&lt;&gt;"",진행중!V55&lt;&gt;"",진행중!P55&lt;&gt;"",진행중!P55&lt;&gt;"X",진행중!AA55&lt;&gt;"완료"),진행중!P55,"")</f>
        <v/>
      </c>
      <c r="B456">
        <f>IF($A456="","",진행중!D55)</f>
        <v/>
      </c>
      <c r="C456" t="inlineStr">
        <is>
          <t>세대</t>
        </is>
      </c>
      <c r="D456" s="22">
        <f>IF($A456="","",진행중!V55)</f>
        <v/>
      </c>
      <c r="E456" s="22">
        <f>IF($A456="","",IF(VLOOKUP($C456,설정!$A$4:$B$12,2,0)=0,진행중!W55,MIN(WORKDAY(진행중!V55,VLOOKUP($C456,설정!$A$4:$B$12,2,0)-1),진행중!W55)))</f>
        <v/>
      </c>
      <c r="F456">
        <f>IF($A456="","",COUNTIF($A$2:$A456,$A456))</f>
        <v/>
      </c>
      <c r="G456">
        <f>IF($A456="","",$A456&amp;"|"&amp;$F456)</f>
        <v/>
      </c>
    </row>
    <row r="457">
      <c r="A457">
        <f>IF(AND(진행중!D55&lt;&gt;"",진행중!V55&lt;&gt;"",진행중!Q55&lt;&gt;"",진행중!Q55&lt;&gt;"X",진행중!AA55&lt;&gt;"완료"),진행중!Q55,"")</f>
        <v/>
      </c>
      <c r="B457">
        <f>IF($A457="","",진행중!D55)</f>
        <v/>
      </c>
      <c r="C457" t="inlineStr">
        <is>
          <t>내부</t>
        </is>
      </c>
      <c r="D457" s="22">
        <f>IF($A457="","",진행중!V55)</f>
        <v/>
      </c>
      <c r="E457" s="22">
        <f>IF($A457="","",IF(VLOOKUP($C457,설정!$A$4:$B$12,2,0)=0,진행중!W55,MIN(WORKDAY(진행중!V55,VLOOKUP($C457,설정!$A$4:$B$12,2,0)-1),진행중!W55)))</f>
        <v/>
      </c>
      <c r="F457">
        <f>IF($A457="","",COUNTIF($A$2:$A457,$A457))</f>
        <v/>
      </c>
      <c r="G457">
        <f>IF($A457="","",$A457&amp;"|"&amp;$F457)</f>
        <v/>
      </c>
    </row>
    <row r="458">
      <c r="A458">
        <f>IF(AND(진행중!D55&lt;&gt;"",진행중!V55&lt;&gt;"",진행중!R55&lt;&gt;"",진행중!R55&lt;&gt;"X",진행중!AA55&lt;&gt;"완료"),진행중!R55,"")</f>
        <v/>
      </c>
      <c r="B458">
        <f>IF($A458="","",진행중!D55)</f>
        <v/>
      </c>
      <c r="C458" t="inlineStr">
        <is>
          <t>외부</t>
        </is>
      </c>
      <c r="D458" s="22">
        <f>IF($A458="","",진행중!V55)</f>
        <v/>
      </c>
      <c r="E458" s="22">
        <f>IF($A458="","",IF(VLOOKUP($C458,설정!$A$4:$B$12,2,0)=0,진행중!W55,MIN(WORKDAY(진행중!V55,VLOOKUP($C458,설정!$A$4:$B$12,2,0)-1),진행중!W55)))</f>
        <v/>
      </c>
      <c r="F458">
        <f>IF($A458="","",COUNTIF($A$2:$A458,$A458))</f>
        <v/>
      </c>
      <c r="G458">
        <f>IF($A458="","",$A458&amp;"|"&amp;$F458)</f>
        <v/>
      </c>
    </row>
    <row r="459">
      <c r="A459">
        <f>IF(AND(진행중!D55&lt;&gt;"",진행중!V55&lt;&gt;"",진행중!S55&lt;&gt;"",진행중!S55&lt;&gt;"X",진행중!AA55&lt;&gt;"완료"),진행중!S55,"")</f>
        <v/>
      </c>
      <c r="B459">
        <f>IF($A459="","",진행중!D55)</f>
        <v/>
      </c>
      <c r="C459" t="inlineStr">
        <is>
          <t>창호</t>
        </is>
      </c>
      <c r="D459" s="22">
        <f>IF($A459="","",진행중!V55)</f>
        <v/>
      </c>
      <c r="E459" s="22">
        <f>IF($A459="","",IF(VLOOKUP($C459,설정!$A$4:$B$12,2,0)=0,진행중!W55,MIN(WORKDAY(진행중!V55,VLOOKUP($C459,설정!$A$4:$B$12,2,0)-1),진행중!W55)))</f>
        <v/>
      </c>
      <c r="F459">
        <f>IF($A459="","",COUNTIF($A$2:$A459,$A459))</f>
        <v/>
      </c>
      <c r="G459">
        <f>IF($A459="","",$A459&amp;"|"&amp;$F459)</f>
        <v/>
      </c>
    </row>
    <row r="460">
      <c r="A460">
        <f>IF(AND(진행중!D55&lt;&gt;"",진행중!V55&lt;&gt;"",진행중!T55&lt;&gt;"",진행중!T55&lt;&gt;"X",진행중!AA55&lt;&gt;"완료"),진행중!T55,"")</f>
        <v/>
      </c>
      <c r="B460">
        <f>IF($A460="","",진행중!D55)</f>
        <v/>
      </c>
      <c r="C460" t="inlineStr">
        <is>
          <t>조적</t>
        </is>
      </c>
      <c r="D460" s="22">
        <f>IF($A460="","",진행중!V55)</f>
        <v/>
      </c>
      <c r="E460" s="22">
        <f>IF($A460="","",IF(VLOOKUP($C460,설정!$A$4:$B$12,2,0)=0,진행중!W55,MIN(WORKDAY(진행중!V55,VLOOKUP($C460,설정!$A$4:$B$12,2,0)-1),진행중!W55)))</f>
        <v/>
      </c>
      <c r="F460">
        <f>IF($A460="","",COUNTIF($A$2:$A460,$A460))</f>
        <v/>
      </c>
      <c r="G460">
        <f>IF($A460="","",$A460&amp;"|"&amp;$F460)</f>
        <v/>
      </c>
    </row>
    <row r="461">
      <c r="A461">
        <f>IF(AND(진행중!D56&lt;&gt;"",진행중!V56&lt;&gt;"",진행중!L56&lt;&gt;"",진행중!L56&lt;&gt;"X",진행중!AA56&lt;&gt;"완료"),진행중!L56,"")</f>
        <v/>
      </c>
      <c r="B461">
        <f>IF($A461="","",진행중!D56)</f>
        <v/>
      </c>
      <c r="C461" t="inlineStr">
        <is>
          <t>PM</t>
        </is>
      </c>
      <c r="D461" s="22">
        <f>IF($A461="","",진행중!V56)</f>
        <v/>
      </c>
      <c r="E461" s="22">
        <f>IF($A461="","",IF(VLOOKUP($C461,설정!$A$4:$B$12,2,0)=0,진행중!W56,MIN(WORKDAY(진행중!V56,VLOOKUP($C461,설정!$A$4:$B$12,2,0)-1),진행중!W56)))</f>
        <v/>
      </c>
      <c r="F461">
        <f>IF($A461="","",COUNTIF($A$2:$A461,$A461))</f>
        <v/>
      </c>
      <c r="G461">
        <f>IF($A461="","",$A461&amp;"|"&amp;$F461)</f>
        <v/>
      </c>
    </row>
    <row r="462">
      <c r="A462">
        <f>IF(AND(진행중!D56&lt;&gt;"",진행중!V56&lt;&gt;"",진행중!M56&lt;&gt;"",진행중!M56&lt;&gt;"X",진행중!AA56&lt;&gt;"완료"),진행중!M56,"")</f>
        <v/>
      </c>
      <c r="B462">
        <f>IF($A462="","",진행중!D56)</f>
        <v/>
      </c>
      <c r="C462" t="inlineStr">
        <is>
          <t>검토</t>
        </is>
      </c>
      <c r="D462" s="22">
        <f>IF($A462="","",진행중!V56)</f>
        <v/>
      </c>
      <c r="E462" s="22">
        <f>IF($A462="","",IF(VLOOKUP($C462,설정!$A$4:$B$12,2,0)=0,진행중!W56,MIN(WORKDAY(진행중!V56,VLOOKUP($C462,설정!$A$4:$B$12,2,0)-1),진행중!W56)))</f>
        <v/>
      </c>
      <c r="F462">
        <f>IF($A462="","",COUNTIF($A$2:$A462,$A462))</f>
        <v/>
      </c>
      <c r="G462">
        <f>IF($A462="","",$A462&amp;"|"&amp;$F462)</f>
        <v/>
      </c>
    </row>
    <row r="463">
      <c r="A463">
        <f>IF(AND(진행중!D56&lt;&gt;"",진행중!V56&lt;&gt;"",진행중!N56&lt;&gt;"",진행중!N56&lt;&gt;"X",진행중!AA56&lt;&gt;"완료"),진행중!N56,"")</f>
        <v/>
      </c>
      <c r="B463">
        <f>IF($A463="","",진행중!D56)</f>
        <v/>
      </c>
      <c r="C463" t="inlineStr">
        <is>
          <t>내역</t>
        </is>
      </c>
      <c r="D463" s="22">
        <f>IF($A463="","",진행중!V56)</f>
        <v/>
      </c>
      <c r="E463" s="22">
        <f>IF($A463="","",IF(VLOOKUP($C463,설정!$A$4:$B$12,2,0)=0,진행중!W56,MIN(WORKDAY(진행중!V56,VLOOKUP($C463,설정!$A$4:$B$12,2,0)-1),진행중!W56)))</f>
        <v/>
      </c>
      <c r="F463">
        <f>IF($A463="","",COUNTIF($A$2:$A463,$A463))</f>
        <v/>
      </c>
      <c r="G463">
        <f>IF($A463="","",$A463&amp;"|"&amp;$F463)</f>
        <v/>
      </c>
    </row>
    <row r="464">
      <c r="A464">
        <f>IF(AND(진행중!D56&lt;&gt;"",진행중!V56&lt;&gt;"",진행중!O56&lt;&gt;"",진행중!O56&lt;&gt;"X",진행중!AA56&lt;&gt;"완료"),진행중!O56,"")</f>
        <v/>
      </c>
      <c r="B464">
        <f>IF($A464="","",진행중!D56)</f>
        <v/>
      </c>
      <c r="C464" t="inlineStr">
        <is>
          <t>가설</t>
        </is>
      </c>
      <c r="D464" s="22">
        <f>IF($A464="","",진행중!V56)</f>
        <v/>
      </c>
      <c r="E464" s="22">
        <f>IF($A464="","",IF(VLOOKUP($C464,설정!$A$4:$B$12,2,0)=0,진행중!W56,MIN(WORKDAY(진행중!V56,VLOOKUP($C464,설정!$A$4:$B$12,2,0)-1),진행중!W56)))</f>
        <v/>
      </c>
      <c r="F464">
        <f>IF($A464="","",COUNTIF($A$2:$A464,$A464))</f>
        <v/>
      </c>
      <c r="G464">
        <f>IF($A464="","",$A464&amp;"|"&amp;$F464)</f>
        <v/>
      </c>
    </row>
    <row r="465">
      <c r="A465">
        <f>IF(AND(진행중!D56&lt;&gt;"",진행중!V56&lt;&gt;"",진행중!P56&lt;&gt;"",진행중!P56&lt;&gt;"X",진행중!AA56&lt;&gt;"완료"),진행중!P56,"")</f>
        <v/>
      </c>
      <c r="B465">
        <f>IF($A465="","",진행중!D56)</f>
        <v/>
      </c>
      <c r="C465" t="inlineStr">
        <is>
          <t>세대</t>
        </is>
      </c>
      <c r="D465" s="22">
        <f>IF($A465="","",진행중!V56)</f>
        <v/>
      </c>
      <c r="E465" s="22">
        <f>IF($A465="","",IF(VLOOKUP($C465,설정!$A$4:$B$12,2,0)=0,진행중!W56,MIN(WORKDAY(진행중!V56,VLOOKUP($C465,설정!$A$4:$B$12,2,0)-1),진행중!W56)))</f>
        <v/>
      </c>
      <c r="F465">
        <f>IF($A465="","",COUNTIF($A$2:$A465,$A465))</f>
        <v/>
      </c>
      <c r="G465">
        <f>IF($A465="","",$A465&amp;"|"&amp;$F465)</f>
        <v/>
      </c>
    </row>
    <row r="466">
      <c r="A466">
        <f>IF(AND(진행중!D56&lt;&gt;"",진행중!V56&lt;&gt;"",진행중!Q56&lt;&gt;"",진행중!Q56&lt;&gt;"X",진행중!AA56&lt;&gt;"완료"),진행중!Q56,"")</f>
        <v/>
      </c>
      <c r="B466">
        <f>IF($A466="","",진행중!D56)</f>
        <v/>
      </c>
      <c r="C466" t="inlineStr">
        <is>
          <t>내부</t>
        </is>
      </c>
      <c r="D466" s="22">
        <f>IF($A466="","",진행중!V56)</f>
        <v/>
      </c>
      <c r="E466" s="22">
        <f>IF($A466="","",IF(VLOOKUP($C466,설정!$A$4:$B$12,2,0)=0,진행중!W56,MIN(WORKDAY(진행중!V56,VLOOKUP($C466,설정!$A$4:$B$12,2,0)-1),진행중!W56)))</f>
        <v/>
      </c>
      <c r="F466">
        <f>IF($A466="","",COUNTIF($A$2:$A466,$A466))</f>
        <v/>
      </c>
      <c r="G466">
        <f>IF($A466="","",$A466&amp;"|"&amp;$F466)</f>
        <v/>
      </c>
    </row>
    <row r="467">
      <c r="A467">
        <f>IF(AND(진행중!D56&lt;&gt;"",진행중!V56&lt;&gt;"",진행중!R56&lt;&gt;"",진행중!R56&lt;&gt;"X",진행중!AA56&lt;&gt;"완료"),진행중!R56,"")</f>
        <v/>
      </c>
      <c r="B467">
        <f>IF($A467="","",진행중!D56)</f>
        <v/>
      </c>
      <c r="C467" t="inlineStr">
        <is>
          <t>외부</t>
        </is>
      </c>
      <c r="D467" s="22">
        <f>IF($A467="","",진행중!V56)</f>
        <v/>
      </c>
      <c r="E467" s="22">
        <f>IF($A467="","",IF(VLOOKUP($C467,설정!$A$4:$B$12,2,0)=0,진행중!W56,MIN(WORKDAY(진행중!V56,VLOOKUP($C467,설정!$A$4:$B$12,2,0)-1),진행중!W56)))</f>
        <v/>
      </c>
      <c r="F467">
        <f>IF($A467="","",COUNTIF($A$2:$A467,$A467))</f>
        <v/>
      </c>
      <c r="G467">
        <f>IF($A467="","",$A467&amp;"|"&amp;$F467)</f>
        <v/>
      </c>
    </row>
    <row r="468">
      <c r="A468">
        <f>IF(AND(진행중!D56&lt;&gt;"",진행중!V56&lt;&gt;"",진행중!S56&lt;&gt;"",진행중!S56&lt;&gt;"X",진행중!AA56&lt;&gt;"완료"),진행중!S56,"")</f>
        <v/>
      </c>
      <c r="B468">
        <f>IF($A468="","",진행중!D56)</f>
        <v/>
      </c>
      <c r="C468" t="inlineStr">
        <is>
          <t>창호</t>
        </is>
      </c>
      <c r="D468" s="22">
        <f>IF($A468="","",진행중!V56)</f>
        <v/>
      </c>
      <c r="E468" s="22">
        <f>IF($A468="","",IF(VLOOKUP($C468,설정!$A$4:$B$12,2,0)=0,진행중!W56,MIN(WORKDAY(진행중!V56,VLOOKUP($C468,설정!$A$4:$B$12,2,0)-1),진행중!W56)))</f>
        <v/>
      </c>
      <c r="F468">
        <f>IF($A468="","",COUNTIF($A$2:$A468,$A468))</f>
        <v/>
      </c>
      <c r="G468">
        <f>IF($A468="","",$A468&amp;"|"&amp;$F468)</f>
        <v/>
      </c>
    </row>
    <row r="469">
      <c r="A469">
        <f>IF(AND(진행중!D56&lt;&gt;"",진행중!V56&lt;&gt;"",진행중!T56&lt;&gt;"",진행중!T56&lt;&gt;"X",진행중!AA56&lt;&gt;"완료"),진행중!T56,"")</f>
        <v/>
      </c>
      <c r="B469">
        <f>IF($A469="","",진행중!D56)</f>
        <v/>
      </c>
      <c r="C469" t="inlineStr">
        <is>
          <t>조적</t>
        </is>
      </c>
      <c r="D469" s="22">
        <f>IF($A469="","",진행중!V56)</f>
        <v/>
      </c>
      <c r="E469" s="22">
        <f>IF($A469="","",IF(VLOOKUP($C469,설정!$A$4:$B$12,2,0)=0,진행중!W56,MIN(WORKDAY(진행중!V56,VLOOKUP($C469,설정!$A$4:$B$12,2,0)-1),진행중!W56)))</f>
        <v/>
      </c>
      <c r="F469">
        <f>IF($A469="","",COUNTIF($A$2:$A469,$A469))</f>
        <v/>
      </c>
      <c r="G469">
        <f>IF($A469="","",$A469&amp;"|"&amp;$F469)</f>
        <v/>
      </c>
    </row>
    <row r="470">
      <c r="A470">
        <f>IF(AND(진행중!D57&lt;&gt;"",진행중!V57&lt;&gt;"",진행중!L57&lt;&gt;"",진행중!L57&lt;&gt;"X",진행중!AA57&lt;&gt;"완료"),진행중!L57,"")</f>
        <v/>
      </c>
      <c r="B470">
        <f>IF($A470="","",진행중!D57)</f>
        <v/>
      </c>
      <c r="C470" t="inlineStr">
        <is>
          <t>PM</t>
        </is>
      </c>
      <c r="D470" s="22">
        <f>IF($A470="","",진행중!V57)</f>
        <v/>
      </c>
      <c r="E470" s="22">
        <f>IF($A470="","",IF(VLOOKUP($C470,설정!$A$4:$B$12,2,0)=0,진행중!W57,MIN(WORKDAY(진행중!V57,VLOOKUP($C470,설정!$A$4:$B$12,2,0)-1),진행중!W57)))</f>
        <v/>
      </c>
      <c r="F470">
        <f>IF($A470="","",COUNTIF($A$2:$A470,$A470))</f>
        <v/>
      </c>
      <c r="G470">
        <f>IF($A470="","",$A470&amp;"|"&amp;$F470)</f>
        <v/>
      </c>
    </row>
    <row r="471">
      <c r="A471">
        <f>IF(AND(진행중!D57&lt;&gt;"",진행중!V57&lt;&gt;"",진행중!M57&lt;&gt;"",진행중!M57&lt;&gt;"X",진행중!AA57&lt;&gt;"완료"),진행중!M57,"")</f>
        <v/>
      </c>
      <c r="B471">
        <f>IF($A471="","",진행중!D57)</f>
        <v/>
      </c>
      <c r="C471" t="inlineStr">
        <is>
          <t>검토</t>
        </is>
      </c>
      <c r="D471" s="22">
        <f>IF($A471="","",진행중!V57)</f>
        <v/>
      </c>
      <c r="E471" s="22">
        <f>IF($A471="","",IF(VLOOKUP($C471,설정!$A$4:$B$12,2,0)=0,진행중!W57,MIN(WORKDAY(진행중!V57,VLOOKUP($C471,설정!$A$4:$B$12,2,0)-1),진행중!W57)))</f>
        <v/>
      </c>
      <c r="F471">
        <f>IF($A471="","",COUNTIF($A$2:$A471,$A471))</f>
        <v/>
      </c>
      <c r="G471">
        <f>IF($A471="","",$A471&amp;"|"&amp;$F471)</f>
        <v/>
      </c>
    </row>
    <row r="472">
      <c r="A472">
        <f>IF(AND(진행중!D57&lt;&gt;"",진행중!V57&lt;&gt;"",진행중!N57&lt;&gt;"",진행중!N57&lt;&gt;"X",진행중!AA57&lt;&gt;"완료"),진행중!N57,"")</f>
        <v/>
      </c>
      <c r="B472">
        <f>IF($A472="","",진행중!D57)</f>
        <v/>
      </c>
      <c r="C472" t="inlineStr">
        <is>
          <t>내역</t>
        </is>
      </c>
      <c r="D472" s="22">
        <f>IF($A472="","",진행중!V57)</f>
        <v/>
      </c>
      <c r="E472" s="22">
        <f>IF($A472="","",IF(VLOOKUP($C472,설정!$A$4:$B$12,2,0)=0,진행중!W57,MIN(WORKDAY(진행중!V57,VLOOKUP($C472,설정!$A$4:$B$12,2,0)-1),진행중!W57)))</f>
        <v/>
      </c>
      <c r="F472">
        <f>IF($A472="","",COUNTIF($A$2:$A472,$A472))</f>
        <v/>
      </c>
      <c r="G472">
        <f>IF($A472="","",$A472&amp;"|"&amp;$F472)</f>
        <v/>
      </c>
    </row>
    <row r="473">
      <c r="A473">
        <f>IF(AND(진행중!D57&lt;&gt;"",진행중!V57&lt;&gt;"",진행중!O57&lt;&gt;"",진행중!O57&lt;&gt;"X",진행중!AA57&lt;&gt;"완료"),진행중!O57,"")</f>
        <v/>
      </c>
      <c r="B473">
        <f>IF($A473="","",진행중!D57)</f>
        <v/>
      </c>
      <c r="C473" t="inlineStr">
        <is>
          <t>가설</t>
        </is>
      </c>
      <c r="D473" s="22">
        <f>IF($A473="","",진행중!V57)</f>
        <v/>
      </c>
      <c r="E473" s="22">
        <f>IF($A473="","",IF(VLOOKUP($C473,설정!$A$4:$B$12,2,0)=0,진행중!W57,MIN(WORKDAY(진행중!V57,VLOOKUP($C473,설정!$A$4:$B$12,2,0)-1),진행중!W57)))</f>
        <v/>
      </c>
      <c r="F473">
        <f>IF($A473="","",COUNTIF($A$2:$A473,$A473))</f>
        <v/>
      </c>
      <c r="G473">
        <f>IF($A473="","",$A473&amp;"|"&amp;$F473)</f>
        <v/>
      </c>
    </row>
    <row r="474">
      <c r="A474">
        <f>IF(AND(진행중!D57&lt;&gt;"",진행중!V57&lt;&gt;"",진행중!P57&lt;&gt;"",진행중!P57&lt;&gt;"X",진행중!AA57&lt;&gt;"완료"),진행중!P57,"")</f>
        <v/>
      </c>
      <c r="B474">
        <f>IF($A474="","",진행중!D57)</f>
        <v/>
      </c>
      <c r="C474" t="inlineStr">
        <is>
          <t>세대</t>
        </is>
      </c>
      <c r="D474" s="22">
        <f>IF($A474="","",진행중!V57)</f>
        <v/>
      </c>
      <c r="E474" s="22">
        <f>IF($A474="","",IF(VLOOKUP($C474,설정!$A$4:$B$12,2,0)=0,진행중!W57,MIN(WORKDAY(진행중!V57,VLOOKUP($C474,설정!$A$4:$B$12,2,0)-1),진행중!W57)))</f>
        <v/>
      </c>
      <c r="F474">
        <f>IF($A474="","",COUNTIF($A$2:$A474,$A474))</f>
        <v/>
      </c>
      <c r="G474">
        <f>IF($A474="","",$A474&amp;"|"&amp;$F474)</f>
        <v/>
      </c>
    </row>
    <row r="475">
      <c r="A475">
        <f>IF(AND(진행중!D57&lt;&gt;"",진행중!V57&lt;&gt;"",진행중!Q57&lt;&gt;"",진행중!Q57&lt;&gt;"X",진행중!AA57&lt;&gt;"완료"),진행중!Q57,"")</f>
        <v/>
      </c>
      <c r="B475">
        <f>IF($A475="","",진행중!D57)</f>
        <v/>
      </c>
      <c r="C475" t="inlineStr">
        <is>
          <t>내부</t>
        </is>
      </c>
      <c r="D475" s="22">
        <f>IF($A475="","",진행중!V57)</f>
        <v/>
      </c>
      <c r="E475" s="22">
        <f>IF($A475="","",IF(VLOOKUP($C475,설정!$A$4:$B$12,2,0)=0,진행중!W57,MIN(WORKDAY(진행중!V57,VLOOKUP($C475,설정!$A$4:$B$12,2,0)-1),진행중!W57)))</f>
        <v/>
      </c>
      <c r="F475">
        <f>IF($A475="","",COUNTIF($A$2:$A475,$A475))</f>
        <v/>
      </c>
      <c r="G475">
        <f>IF($A475="","",$A475&amp;"|"&amp;$F475)</f>
        <v/>
      </c>
    </row>
    <row r="476">
      <c r="A476">
        <f>IF(AND(진행중!D57&lt;&gt;"",진행중!V57&lt;&gt;"",진행중!R57&lt;&gt;"",진행중!R57&lt;&gt;"X",진행중!AA57&lt;&gt;"완료"),진행중!R57,"")</f>
        <v/>
      </c>
      <c r="B476">
        <f>IF($A476="","",진행중!D57)</f>
        <v/>
      </c>
      <c r="C476" t="inlineStr">
        <is>
          <t>외부</t>
        </is>
      </c>
      <c r="D476" s="22">
        <f>IF($A476="","",진행중!V57)</f>
        <v/>
      </c>
      <c r="E476" s="22">
        <f>IF($A476="","",IF(VLOOKUP($C476,설정!$A$4:$B$12,2,0)=0,진행중!W57,MIN(WORKDAY(진행중!V57,VLOOKUP($C476,설정!$A$4:$B$12,2,0)-1),진행중!W57)))</f>
        <v/>
      </c>
      <c r="F476">
        <f>IF($A476="","",COUNTIF($A$2:$A476,$A476))</f>
        <v/>
      </c>
      <c r="G476">
        <f>IF($A476="","",$A476&amp;"|"&amp;$F476)</f>
        <v/>
      </c>
    </row>
    <row r="477">
      <c r="A477">
        <f>IF(AND(진행중!D57&lt;&gt;"",진행중!V57&lt;&gt;"",진행중!S57&lt;&gt;"",진행중!S57&lt;&gt;"X",진행중!AA57&lt;&gt;"완료"),진행중!S57,"")</f>
        <v/>
      </c>
      <c r="B477">
        <f>IF($A477="","",진행중!D57)</f>
        <v/>
      </c>
      <c r="C477" t="inlineStr">
        <is>
          <t>창호</t>
        </is>
      </c>
      <c r="D477" s="22">
        <f>IF($A477="","",진행중!V57)</f>
        <v/>
      </c>
      <c r="E477" s="22">
        <f>IF($A477="","",IF(VLOOKUP($C477,설정!$A$4:$B$12,2,0)=0,진행중!W57,MIN(WORKDAY(진행중!V57,VLOOKUP($C477,설정!$A$4:$B$12,2,0)-1),진행중!W57)))</f>
        <v/>
      </c>
      <c r="F477">
        <f>IF($A477="","",COUNTIF($A$2:$A477,$A477))</f>
        <v/>
      </c>
      <c r="G477">
        <f>IF($A477="","",$A477&amp;"|"&amp;$F477)</f>
        <v/>
      </c>
    </row>
    <row r="478">
      <c r="A478">
        <f>IF(AND(진행중!D57&lt;&gt;"",진행중!V57&lt;&gt;"",진행중!T57&lt;&gt;"",진행중!T57&lt;&gt;"X",진행중!AA57&lt;&gt;"완료"),진행중!T57,"")</f>
        <v/>
      </c>
      <c r="B478">
        <f>IF($A478="","",진행중!D57)</f>
        <v/>
      </c>
      <c r="C478" t="inlineStr">
        <is>
          <t>조적</t>
        </is>
      </c>
      <c r="D478" s="22">
        <f>IF($A478="","",진행중!V57)</f>
        <v/>
      </c>
      <c r="E478" s="22">
        <f>IF($A478="","",IF(VLOOKUP($C478,설정!$A$4:$B$12,2,0)=0,진행중!W57,MIN(WORKDAY(진행중!V57,VLOOKUP($C478,설정!$A$4:$B$12,2,0)-1),진행중!W57)))</f>
        <v/>
      </c>
      <c r="F478">
        <f>IF($A478="","",COUNTIF($A$2:$A478,$A478))</f>
        <v/>
      </c>
      <c r="G478">
        <f>IF($A478="","",$A478&amp;"|"&amp;$F478)</f>
        <v/>
      </c>
    </row>
    <row r="479">
      <c r="A479">
        <f>IF(AND(진행중!D58&lt;&gt;"",진행중!V58&lt;&gt;"",진행중!L58&lt;&gt;"",진행중!L58&lt;&gt;"X",진행중!AA58&lt;&gt;"완료"),진행중!L58,"")</f>
        <v/>
      </c>
      <c r="B479">
        <f>IF($A479="","",진행중!D58)</f>
        <v/>
      </c>
      <c r="C479" t="inlineStr">
        <is>
          <t>PM</t>
        </is>
      </c>
      <c r="D479" s="22">
        <f>IF($A479="","",진행중!V58)</f>
        <v/>
      </c>
      <c r="E479" s="22">
        <f>IF($A479="","",IF(VLOOKUP($C479,설정!$A$4:$B$12,2,0)=0,진행중!W58,MIN(WORKDAY(진행중!V58,VLOOKUP($C479,설정!$A$4:$B$12,2,0)-1),진행중!W58)))</f>
        <v/>
      </c>
      <c r="F479">
        <f>IF($A479="","",COUNTIF($A$2:$A479,$A479))</f>
        <v/>
      </c>
      <c r="G479">
        <f>IF($A479="","",$A479&amp;"|"&amp;$F479)</f>
        <v/>
      </c>
    </row>
    <row r="480">
      <c r="A480">
        <f>IF(AND(진행중!D58&lt;&gt;"",진행중!V58&lt;&gt;"",진행중!M58&lt;&gt;"",진행중!M58&lt;&gt;"X",진행중!AA58&lt;&gt;"완료"),진행중!M58,"")</f>
        <v/>
      </c>
      <c r="B480">
        <f>IF($A480="","",진행중!D58)</f>
        <v/>
      </c>
      <c r="C480" t="inlineStr">
        <is>
          <t>검토</t>
        </is>
      </c>
      <c r="D480" s="22">
        <f>IF($A480="","",진행중!V58)</f>
        <v/>
      </c>
      <c r="E480" s="22">
        <f>IF($A480="","",IF(VLOOKUP($C480,설정!$A$4:$B$12,2,0)=0,진행중!W58,MIN(WORKDAY(진행중!V58,VLOOKUP($C480,설정!$A$4:$B$12,2,0)-1),진행중!W58)))</f>
        <v/>
      </c>
      <c r="F480">
        <f>IF($A480="","",COUNTIF($A$2:$A480,$A480))</f>
        <v/>
      </c>
      <c r="G480">
        <f>IF($A480="","",$A480&amp;"|"&amp;$F480)</f>
        <v/>
      </c>
    </row>
    <row r="481">
      <c r="A481">
        <f>IF(AND(진행중!D58&lt;&gt;"",진행중!V58&lt;&gt;"",진행중!N58&lt;&gt;"",진행중!N58&lt;&gt;"X",진행중!AA58&lt;&gt;"완료"),진행중!N58,"")</f>
        <v/>
      </c>
      <c r="B481">
        <f>IF($A481="","",진행중!D58)</f>
        <v/>
      </c>
      <c r="C481" t="inlineStr">
        <is>
          <t>내역</t>
        </is>
      </c>
      <c r="D481" s="22">
        <f>IF($A481="","",진행중!V58)</f>
        <v/>
      </c>
      <c r="E481" s="22">
        <f>IF($A481="","",IF(VLOOKUP($C481,설정!$A$4:$B$12,2,0)=0,진행중!W58,MIN(WORKDAY(진행중!V58,VLOOKUP($C481,설정!$A$4:$B$12,2,0)-1),진행중!W58)))</f>
        <v/>
      </c>
      <c r="F481">
        <f>IF($A481="","",COUNTIF($A$2:$A481,$A481))</f>
        <v/>
      </c>
      <c r="G481">
        <f>IF($A481="","",$A481&amp;"|"&amp;$F481)</f>
        <v/>
      </c>
    </row>
    <row r="482">
      <c r="A482">
        <f>IF(AND(진행중!D58&lt;&gt;"",진행중!V58&lt;&gt;"",진행중!O58&lt;&gt;"",진행중!O58&lt;&gt;"X",진행중!AA58&lt;&gt;"완료"),진행중!O58,"")</f>
        <v/>
      </c>
      <c r="B482">
        <f>IF($A482="","",진행중!D58)</f>
        <v/>
      </c>
      <c r="C482" t="inlineStr">
        <is>
          <t>가설</t>
        </is>
      </c>
      <c r="D482" s="22">
        <f>IF($A482="","",진행중!V58)</f>
        <v/>
      </c>
      <c r="E482" s="22">
        <f>IF($A482="","",IF(VLOOKUP($C482,설정!$A$4:$B$12,2,0)=0,진행중!W58,MIN(WORKDAY(진행중!V58,VLOOKUP($C482,설정!$A$4:$B$12,2,0)-1),진행중!W58)))</f>
        <v/>
      </c>
      <c r="F482">
        <f>IF($A482="","",COUNTIF($A$2:$A482,$A482))</f>
        <v/>
      </c>
      <c r="G482">
        <f>IF($A482="","",$A482&amp;"|"&amp;$F482)</f>
        <v/>
      </c>
    </row>
    <row r="483">
      <c r="A483">
        <f>IF(AND(진행중!D58&lt;&gt;"",진행중!V58&lt;&gt;"",진행중!P58&lt;&gt;"",진행중!P58&lt;&gt;"X",진행중!AA58&lt;&gt;"완료"),진행중!P58,"")</f>
        <v/>
      </c>
      <c r="B483">
        <f>IF($A483="","",진행중!D58)</f>
        <v/>
      </c>
      <c r="C483" t="inlineStr">
        <is>
          <t>세대</t>
        </is>
      </c>
      <c r="D483" s="22">
        <f>IF($A483="","",진행중!V58)</f>
        <v/>
      </c>
      <c r="E483" s="22">
        <f>IF($A483="","",IF(VLOOKUP($C483,설정!$A$4:$B$12,2,0)=0,진행중!W58,MIN(WORKDAY(진행중!V58,VLOOKUP($C483,설정!$A$4:$B$12,2,0)-1),진행중!W58)))</f>
        <v/>
      </c>
      <c r="F483">
        <f>IF($A483="","",COUNTIF($A$2:$A483,$A483))</f>
        <v/>
      </c>
      <c r="G483">
        <f>IF($A483="","",$A483&amp;"|"&amp;$F483)</f>
        <v/>
      </c>
    </row>
    <row r="484">
      <c r="A484">
        <f>IF(AND(진행중!D58&lt;&gt;"",진행중!V58&lt;&gt;"",진행중!Q58&lt;&gt;"",진행중!Q58&lt;&gt;"X",진행중!AA58&lt;&gt;"완료"),진행중!Q58,"")</f>
        <v/>
      </c>
      <c r="B484">
        <f>IF($A484="","",진행중!D58)</f>
        <v/>
      </c>
      <c r="C484" t="inlineStr">
        <is>
          <t>내부</t>
        </is>
      </c>
      <c r="D484" s="22">
        <f>IF($A484="","",진행중!V58)</f>
        <v/>
      </c>
      <c r="E484" s="22">
        <f>IF($A484="","",IF(VLOOKUP($C484,설정!$A$4:$B$12,2,0)=0,진행중!W58,MIN(WORKDAY(진행중!V58,VLOOKUP($C484,설정!$A$4:$B$12,2,0)-1),진행중!W58)))</f>
        <v/>
      </c>
      <c r="F484">
        <f>IF($A484="","",COUNTIF($A$2:$A484,$A484))</f>
        <v/>
      </c>
      <c r="G484">
        <f>IF($A484="","",$A484&amp;"|"&amp;$F484)</f>
        <v/>
      </c>
    </row>
    <row r="485">
      <c r="A485">
        <f>IF(AND(진행중!D58&lt;&gt;"",진행중!V58&lt;&gt;"",진행중!R58&lt;&gt;"",진행중!R58&lt;&gt;"X",진행중!AA58&lt;&gt;"완료"),진행중!R58,"")</f>
        <v/>
      </c>
      <c r="B485">
        <f>IF($A485="","",진행중!D58)</f>
        <v/>
      </c>
      <c r="C485" t="inlineStr">
        <is>
          <t>외부</t>
        </is>
      </c>
      <c r="D485" s="22">
        <f>IF($A485="","",진행중!V58)</f>
        <v/>
      </c>
      <c r="E485" s="22">
        <f>IF($A485="","",IF(VLOOKUP($C485,설정!$A$4:$B$12,2,0)=0,진행중!W58,MIN(WORKDAY(진행중!V58,VLOOKUP($C485,설정!$A$4:$B$12,2,0)-1),진행중!W58)))</f>
        <v/>
      </c>
      <c r="F485">
        <f>IF($A485="","",COUNTIF($A$2:$A485,$A485))</f>
        <v/>
      </c>
      <c r="G485">
        <f>IF($A485="","",$A485&amp;"|"&amp;$F485)</f>
        <v/>
      </c>
    </row>
    <row r="486">
      <c r="A486">
        <f>IF(AND(진행중!D58&lt;&gt;"",진행중!V58&lt;&gt;"",진행중!S58&lt;&gt;"",진행중!S58&lt;&gt;"X",진행중!AA58&lt;&gt;"완료"),진행중!S58,"")</f>
        <v/>
      </c>
      <c r="B486">
        <f>IF($A486="","",진행중!D58)</f>
        <v/>
      </c>
      <c r="C486" t="inlineStr">
        <is>
          <t>창호</t>
        </is>
      </c>
      <c r="D486" s="22">
        <f>IF($A486="","",진행중!V58)</f>
        <v/>
      </c>
      <c r="E486" s="22">
        <f>IF($A486="","",IF(VLOOKUP($C486,설정!$A$4:$B$12,2,0)=0,진행중!W58,MIN(WORKDAY(진행중!V58,VLOOKUP($C486,설정!$A$4:$B$12,2,0)-1),진행중!W58)))</f>
        <v/>
      </c>
      <c r="F486">
        <f>IF($A486="","",COUNTIF($A$2:$A486,$A486))</f>
        <v/>
      </c>
      <c r="G486">
        <f>IF($A486="","",$A486&amp;"|"&amp;$F486)</f>
        <v/>
      </c>
    </row>
    <row r="487">
      <c r="A487">
        <f>IF(AND(진행중!D58&lt;&gt;"",진행중!V58&lt;&gt;"",진행중!T58&lt;&gt;"",진행중!T58&lt;&gt;"X",진행중!AA58&lt;&gt;"완료"),진행중!T58,"")</f>
        <v/>
      </c>
      <c r="B487">
        <f>IF($A487="","",진행중!D58)</f>
        <v/>
      </c>
      <c r="C487" t="inlineStr">
        <is>
          <t>조적</t>
        </is>
      </c>
      <c r="D487" s="22">
        <f>IF($A487="","",진행중!V58)</f>
        <v/>
      </c>
      <c r="E487" s="22">
        <f>IF($A487="","",IF(VLOOKUP($C487,설정!$A$4:$B$12,2,0)=0,진행중!W58,MIN(WORKDAY(진행중!V58,VLOOKUP($C487,설정!$A$4:$B$12,2,0)-1),진행중!W58)))</f>
        <v/>
      </c>
      <c r="F487">
        <f>IF($A487="","",COUNTIF($A$2:$A487,$A487))</f>
        <v/>
      </c>
      <c r="G487">
        <f>IF($A487="","",$A487&amp;"|"&amp;$F487)</f>
        <v/>
      </c>
    </row>
    <row r="488">
      <c r="A488">
        <f>IF(AND(진행중!D59&lt;&gt;"",진행중!V59&lt;&gt;"",진행중!L59&lt;&gt;"",진행중!L59&lt;&gt;"X",진행중!AA59&lt;&gt;"완료"),진행중!L59,"")</f>
        <v/>
      </c>
      <c r="B488">
        <f>IF($A488="","",진행중!D59)</f>
        <v/>
      </c>
      <c r="C488" t="inlineStr">
        <is>
          <t>PM</t>
        </is>
      </c>
      <c r="D488" s="22">
        <f>IF($A488="","",진행중!V59)</f>
        <v/>
      </c>
      <c r="E488" s="22">
        <f>IF($A488="","",IF(VLOOKUP($C488,설정!$A$4:$B$12,2,0)=0,진행중!W59,MIN(WORKDAY(진행중!V59,VLOOKUP($C488,설정!$A$4:$B$12,2,0)-1),진행중!W59)))</f>
        <v/>
      </c>
      <c r="F488">
        <f>IF($A488="","",COUNTIF($A$2:$A488,$A488))</f>
        <v/>
      </c>
      <c r="G488">
        <f>IF($A488="","",$A488&amp;"|"&amp;$F488)</f>
        <v/>
      </c>
    </row>
    <row r="489">
      <c r="A489">
        <f>IF(AND(진행중!D59&lt;&gt;"",진행중!V59&lt;&gt;"",진행중!M59&lt;&gt;"",진행중!M59&lt;&gt;"X",진행중!AA59&lt;&gt;"완료"),진행중!M59,"")</f>
        <v/>
      </c>
      <c r="B489">
        <f>IF($A489="","",진행중!D59)</f>
        <v/>
      </c>
      <c r="C489" t="inlineStr">
        <is>
          <t>검토</t>
        </is>
      </c>
      <c r="D489" s="22">
        <f>IF($A489="","",진행중!V59)</f>
        <v/>
      </c>
      <c r="E489" s="22">
        <f>IF($A489="","",IF(VLOOKUP($C489,설정!$A$4:$B$12,2,0)=0,진행중!W59,MIN(WORKDAY(진행중!V59,VLOOKUP($C489,설정!$A$4:$B$12,2,0)-1),진행중!W59)))</f>
        <v/>
      </c>
      <c r="F489">
        <f>IF($A489="","",COUNTIF($A$2:$A489,$A489))</f>
        <v/>
      </c>
      <c r="G489">
        <f>IF($A489="","",$A489&amp;"|"&amp;$F489)</f>
        <v/>
      </c>
    </row>
    <row r="490">
      <c r="A490">
        <f>IF(AND(진행중!D59&lt;&gt;"",진행중!V59&lt;&gt;"",진행중!N59&lt;&gt;"",진행중!N59&lt;&gt;"X",진행중!AA59&lt;&gt;"완료"),진행중!N59,"")</f>
        <v/>
      </c>
      <c r="B490">
        <f>IF($A490="","",진행중!D59)</f>
        <v/>
      </c>
      <c r="C490" t="inlineStr">
        <is>
          <t>내역</t>
        </is>
      </c>
      <c r="D490" s="22">
        <f>IF($A490="","",진행중!V59)</f>
        <v/>
      </c>
      <c r="E490" s="22">
        <f>IF($A490="","",IF(VLOOKUP($C490,설정!$A$4:$B$12,2,0)=0,진행중!W59,MIN(WORKDAY(진행중!V59,VLOOKUP($C490,설정!$A$4:$B$12,2,0)-1),진행중!W59)))</f>
        <v/>
      </c>
      <c r="F490">
        <f>IF($A490="","",COUNTIF($A$2:$A490,$A490))</f>
        <v/>
      </c>
      <c r="G490">
        <f>IF($A490="","",$A490&amp;"|"&amp;$F490)</f>
        <v/>
      </c>
    </row>
    <row r="491">
      <c r="A491">
        <f>IF(AND(진행중!D59&lt;&gt;"",진행중!V59&lt;&gt;"",진행중!O59&lt;&gt;"",진행중!O59&lt;&gt;"X",진행중!AA59&lt;&gt;"완료"),진행중!O59,"")</f>
        <v/>
      </c>
      <c r="B491">
        <f>IF($A491="","",진행중!D59)</f>
        <v/>
      </c>
      <c r="C491" t="inlineStr">
        <is>
          <t>가설</t>
        </is>
      </c>
      <c r="D491" s="22">
        <f>IF($A491="","",진행중!V59)</f>
        <v/>
      </c>
      <c r="E491" s="22">
        <f>IF($A491="","",IF(VLOOKUP($C491,설정!$A$4:$B$12,2,0)=0,진행중!W59,MIN(WORKDAY(진행중!V59,VLOOKUP($C491,설정!$A$4:$B$12,2,0)-1),진행중!W59)))</f>
        <v/>
      </c>
      <c r="F491">
        <f>IF($A491="","",COUNTIF($A$2:$A491,$A491))</f>
        <v/>
      </c>
      <c r="G491">
        <f>IF($A491="","",$A491&amp;"|"&amp;$F491)</f>
        <v/>
      </c>
    </row>
    <row r="492">
      <c r="A492">
        <f>IF(AND(진행중!D59&lt;&gt;"",진행중!V59&lt;&gt;"",진행중!P59&lt;&gt;"",진행중!P59&lt;&gt;"X",진행중!AA59&lt;&gt;"완료"),진행중!P59,"")</f>
        <v/>
      </c>
      <c r="B492">
        <f>IF($A492="","",진행중!D59)</f>
        <v/>
      </c>
      <c r="C492" t="inlineStr">
        <is>
          <t>세대</t>
        </is>
      </c>
      <c r="D492" s="22">
        <f>IF($A492="","",진행중!V59)</f>
        <v/>
      </c>
      <c r="E492" s="22">
        <f>IF($A492="","",IF(VLOOKUP($C492,설정!$A$4:$B$12,2,0)=0,진행중!W59,MIN(WORKDAY(진행중!V59,VLOOKUP($C492,설정!$A$4:$B$12,2,0)-1),진행중!W59)))</f>
        <v/>
      </c>
      <c r="F492">
        <f>IF($A492="","",COUNTIF($A$2:$A492,$A492))</f>
        <v/>
      </c>
      <c r="G492">
        <f>IF($A492="","",$A492&amp;"|"&amp;$F492)</f>
        <v/>
      </c>
    </row>
    <row r="493">
      <c r="A493">
        <f>IF(AND(진행중!D59&lt;&gt;"",진행중!V59&lt;&gt;"",진행중!Q59&lt;&gt;"",진행중!Q59&lt;&gt;"X",진행중!AA59&lt;&gt;"완료"),진행중!Q59,"")</f>
        <v/>
      </c>
      <c r="B493">
        <f>IF($A493="","",진행중!D59)</f>
        <v/>
      </c>
      <c r="C493" t="inlineStr">
        <is>
          <t>내부</t>
        </is>
      </c>
      <c r="D493" s="22">
        <f>IF($A493="","",진행중!V59)</f>
        <v/>
      </c>
      <c r="E493" s="22">
        <f>IF($A493="","",IF(VLOOKUP($C493,설정!$A$4:$B$12,2,0)=0,진행중!W59,MIN(WORKDAY(진행중!V59,VLOOKUP($C493,설정!$A$4:$B$12,2,0)-1),진행중!W59)))</f>
        <v/>
      </c>
      <c r="F493">
        <f>IF($A493="","",COUNTIF($A$2:$A493,$A493))</f>
        <v/>
      </c>
      <c r="G493">
        <f>IF($A493="","",$A493&amp;"|"&amp;$F493)</f>
        <v/>
      </c>
    </row>
    <row r="494">
      <c r="A494">
        <f>IF(AND(진행중!D59&lt;&gt;"",진행중!V59&lt;&gt;"",진행중!R59&lt;&gt;"",진행중!R59&lt;&gt;"X",진행중!AA59&lt;&gt;"완료"),진행중!R59,"")</f>
        <v/>
      </c>
      <c r="B494">
        <f>IF($A494="","",진행중!D59)</f>
        <v/>
      </c>
      <c r="C494" t="inlineStr">
        <is>
          <t>외부</t>
        </is>
      </c>
      <c r="D494" s="22">
        <f>IF($A494="","",진행중!V59)</f>
        <v/>
      </c>
      <c r="E494" s="22">
        <f>IF($A494="","",IF(VLOOKUP($C494,설정!$A$4:$B$12,2,0)=0,진행중!W59,MIN(WORKDAY(진행중!V59,VLOOKUP($C494,설정!$A$4:$B$12,2,0)-1),진행중!W59)))</f>
        <v/>
      </c>
      <c r="F494">
        <f>IF($A494="","",COUNTIF($A$2:$A494,$A494))</f>
        <v/>
      </c>
      <c r="G494">
        <f>IF($A494="","",$A494&amp;"|"&amp;$F494)</f>
        <v/>
      </c>
    </row>
    <row r="495">
      <c r="A495">
        <f>IF(AND(진행중!D59&lt;&gt;"",진행중!V59&lt;&gt;"",진행중!S59&lt;&gt;"",진행중!S59&lt;&gt;"X",진행중!AA59&lt;&gt;"완료"),진행중!S59,"")</f>
        <v/>
      </c>
      <c r="B495">
        <f>IF($A495="","",진행중!D59)</f>
        <v/>
      </c>
      <c r="C495" t="inlineStr">
        <is>
          <t>창호</t>
        </is>
      </c>
      <c r="D495" s="22">
        <f>IF($A495="","",진행중!V59)</f>
        <v/>
      </c>
      <c r="E495" s="22">
        <f>IF($A495="","",IF(VLOOKUP($C495,설정!$A$4:$B$12,2,0)=0,진행중!W59,MIN(WORKDAY(진행중!V59,VLOOKUP($C495,설정!$A$4:$B$12,2,0)-1),진행중!W59)))</f>
        <v/>
      </c>
      <c r="F495">
        <f>IF($A495="","",COUNTIF($A$2:$A495,$A495))</f>
        <v/>
      </c>
      <c r="G495">
        <f>IF($A495="","",$A495&amp;"|"&amp;$F495)</f>
        <v/>
      </c>
    </row>
    <row r="496">
      <c r="A496">
        <f>IF(AND(진행중!D59&lt;&gt;"",진행중!V59&lt;&gt;"",진행중!T59&lt;&gt;"",진행중!T59&lt;&gt;"X",진행중!AA59&lt;&gt;"완료"),진행중!T59,"")</f>
        <v/>
      </c>
      <c r="B496">
        <f>IF($A496="","",진행중!D59)</f>
        <v/>
      </c>
      <c r="C496" t="inlineStr">
        <is>
          <t>조적</t>
        </is>
      </c>
      <c r="D496" s="22">
        <f>IF($A496="","",진행중!V59)</f>
        <v/>
      </c>
      <c r="E496" s="22">
        <f>IF($A496="","",IF(VLOOKUP($C496,설정!$A$4:$B$12,2,0)=0,진행중!W59,MIN(WORKDAY(진행중!V59,VLOOKUP($C496,설정!$A$4:$B$12,2,0)-1),진행중!W59)))</f>
        <v/>
      </c>
      <c r="F496">
        <f>IF($A496="","",COUNTIF($A$2:$A496,$A496))</f>
        <v/>
      </c>
      <c r="G496">
        <f>IF($A496="","",$A496&amp;"|"&amp;$F496)</f>
        <v/>
      </c>
    </row>
    <row r="497">
      <c r="A497">
        <f>IF(AND(진행중!D60&lt;&gt;"",진행중!V60&lt;&gt;"",진행중!L60&lt;&gt;"",진행중!L60&lt;&gt;"X",진행중!AA60&lt;&gt;"완료"),진행중!L60,"")</f>
        <v/>
      </c>
      <c r="B497">
        <f>IF($A497="","",진행중!D60)</f>
        <v/>
      </c>
      <c r="C497" t="inlineStr">
        <is>
          <t>PM</t>
        </is>
      </c>
      <c r="D497" s="22">
        <f>IF($A497="","",진행중!V60)</f>
        <v/>
      </c>
      <c r="E497" s="22">
        <f>IF($A497="","",IF(VLOOKUP($C497,설정!$A$4:$B$12,2,0)=0,진행중!W60,MIN(WORKDAY(진행중!V60,VLOOKUP($C497,설정!$A$4:$B$12,2,0)-1),진행중!W60)))</f>
        <v/>
      </c>
      <c r="F497">
        <f>IF($A497="","",COUNTIF($A$2:$A497,$A497))</f>
        <v/>
      </c>
      <c r="G497">
        <f>IF($A497="","",$A497&amp;"|"&amp;$F497)</f>
        <v/>
      </c>
    </row>
    <row r="498">
      <c r="A498">
        <f>IF(AND(진행중!D60&lt;&gt;"",진행중!V60&lt;&gt;"",진행중!M60&lt;&gt;"",진행중!M60&lt;&gt;"X",진행중!AA60&lt;&gt;"완료"),진행중!M60,"")</f>
        <v/>
      </c>
      <c r="B498">
        <f>IF($A498="","",진행중!D60)</f>
        <v/>
      </c>
      <c r="C498" t="inlineStr">
        <is>
          <t>검토</t>
        </is>
      </c>
      <c r="D498" s="22">
        <f>IF($A498="","",진행중!V60)</f>
        <v/>
      </c>
      <c r="E498" s="22">
        <f>IF($A498="","",IF(VLOOKUP($C498,설정!$A$4:$B$12,2,0)=0,진행중!W60,MIN(WORKDAY(진행중!V60,VLOOKUP($C498,설정!$A$4:$B$12,2,0)-1),진행중!W60)))</f>
        <v/>
      </c>
      <c r="F498">
        <f>IF($A498="","",COUNTIF($A$2:$A498,$A498))</f>
        <v/>
      </c>
      <c r="G498">
        <f>IF($A498="","",$A498&amp;"|"&amp;$F498)</f>
        <v/>
      </c>
    </row>
    <row r="499">
      <c r="A499">
        <f>IF(AND(진행중!D60&lt;&gt;"",진행중!V60&lt;&gt;"",진행중!N60&lt;&gt;"",진행중!N60&lt;&gt;"X",진행중!AA60&lt;&gt;"완료"),진행중!N60,"")</f>
        <v/>
      </c>
      <c r="B499">
        <f>IF($A499="","",진행중!D60)</f>
        <v/>
      </c>
      <c r="C499" t="inlineStr">
        <is>
          <t>내역</t>
        </is>
      </c>
      <c r="D499" s="22">
        <f>IF($A499="","",진행중!V60)</f>
        <v/>
      </c>
      <c r="E499" s="22">
        <f>IF($A499="","",IF(VLOOKUP($C499,설정!$A$4:$B$12,2,0)=0,진행중!W60,MIN(WORKDAY(진행중!V60,VLOOKUP($C499,설정!$A$4:$B$12,2,0)-1),진행중!W60)))</f>
        <v/>
      </c>
      <c r="F499">
        <f>IF($A499="","",COUNTIF($A$2:$A499,$A499))</f>
        <v/>
      </c>
      <c r="G499">
        <f>IF($A499="","",$A499&amp;"|"&amp;$F499)</f>
        <v/>
      </c>
    </row>
    <row r="500">
      <c r="A500">
        <f>IF(AND(진행중!D60&lt;&gt;"",진행중!V60&lt;&gt;"",진행중!O60&lt;&gt;"",진행중!O60&lt;&gt;"X",진행중!AA60&lt;&gt;"완료"),진행중!O60,"")</f>
        <v/>
      </c>
      <c r="B500">
        <f>IF($A500="","",진행중!D60)</f>
        <v/>
      </c>
      <c r="C500" t="inlineStr">
        <is>
          <t>가설</t>
        </is>
      </c>
      <c r="D500" s="22">
        <f>IF($A500="","",진행중!V60)</f>
        <v/>
      </c>
      <c r="E500" s="22">
        <f>IF($A500="","",IF(VLOOKUP($C500,설정!$A$4:$B$12,2,0)=0,진행중!W60,MIN(WORKDAY(진행중!V60,VLOOKUP($C500,설정!$A$4:$B$12,2,0)-1),진행중!W60)))</f>
        <v/>
      </c>
      <c r="F500">
        <f>IF($A500="","",COUNTIF($A$2:$A500,$A500))</f>
        <v/>
      </c>
      <c r="G500">
        <f>IF($A500="","",$A500&amp;"|"&amp;$F500)</f>
        <v/>
      </c>
    </row>
    <row r="501">
      <c r="A501">
        <f>IF(AND(진행중!D60&lt;&gt;"",진행중!V60&lt;&gt;"",진행중!P60&lt;&gt;"",진행중!P60&lt;&gt;"X",진행중!AA60&lt;&gt;"완료"),진행중!P60,"")</f>
        <v/>
      </c>
      <c r="B501">
        <f>IF($A501="","",진행중!D60)</f>
        <v/>
      </c>
      <c r="C501" t="inlineStr">
        <is>
          <t>세대</t>
        </is>
      </c>
      <c r="D501" s="22">
        <f>IF($A501="","",진행중!V60)</f>
        <v/>
      </c>
      <c r="E501" s="22">
        <f>IF($A501="","",IF(VLOOKUP($C501,설정!$A$4:$B$12,2,0)=0,진행중!W60,MIN(WORKDAY(진행중!V60,VLOOKUP($C501,설정!$A$4:$B$12,2,0)-1),진행중!W60)))</f>
        <v/>
      </c>
      <c r="F501">
        <f>IF($A501="","",COUNTIF($A$2:$A501,$A501))</f>
        <v/>
      </c>
      <c r="G501">
        <f>IF($A501="","",$A501&amp;"|"&amp;$F501)</f>
        <v/>
      </c>
    </row>
    <row r="502">
      <c r="A502">
        <f>IF(AND(진행중!D60&lt;&gt;"",진행중!V60&lt;&gt;"",진행중!Q60&lt;&gt;"",진행중!Q60&lt;&gt;"X",진행중!AA60&lt;&gt;"완료"),진행중!Q60,"")</f>
        <v/>
      </c>
      <c r="B502">
        <f>IF($A502="","",진행중!D60)</f>
        <v/>
      </c>
      <c r="C502" t="inlineStr">
        <is>
          <t>내부</t>
        </is>
      </c>
      <c r="D502" s="22">
        <f>IF($A502="","",진행중!V60)</f>
        <v/>
      </c>
      <c r="E502" s="22">
        <f>IF($A502="","",IF(VLOOKUP($C502,설정!$A$4:$B$12,2,0)=0,진행중!W60,MIN(WORKDAY(진행중!V60,VLOOKUP($C502,설정!$A$4:$B$12,2,0)-1),진행중!W60)))</f>
        <v/>
      </c>
      <c r="F502">
        <f>IF($A502="","",COUNTIF($A$2:$A502,$A502))</f>
        <v/>
      </c>
      <c r="G502">
        <f>IF($A502="","",$A502&amp;"|"&amp;$F502)</f>
        <v/>
      </c>
    </row>
    <row r="503">
      <c r="A503">
        <f>IF(AND(진행중!D60&lt;&gt;"",진행중!V60&lt;&gt;"",진행중!R60&lt;&gt;"",진행중!R60&lt;&gt;"X",진행중!AA60&lt;&gt;"완료"),진행중!R60,"")</f>
        <v/>
      </c>
      <c r="B503">
        <f>IF($A503="","",진행중!D60)</f>
        <v/>
      </c>
      <c r="C503" t="inlineStr">
        <is>
          <t>외부</t>
        </is>
      </c>
      <c r="D503" s="22">
        <f>IF($A503="","",진행중!V60)</f>
        <v/>
      </c>
      <c r="E503" s="22">
        <f>IF($A503="","",IF(VLOOKUP($C503,설정!$A$4:$B$12,2,0)=0,진행중!W60,MIN(WORKDAY(진행중!V60,VLOOKUP($C503,설정!$A$4:$B$12,2,0)-1),진행중!W60)))</f>
        <v/>
      </c>
      <c r="F503">
        <f>IF($A503="","",COUNTIF($A$2:$A503,$A503))</f>
        <v/>
      </c>
      <c r="G503">
        <f>IF($A503="","",$A503&amp;"|"&amp;$F503)</f>
        <v/>
      </c>
    </row>
    <row r="504">
      <c r="A504">
        <f>IF(AND(진행중!D60&lt;&gt;"",진행중!V60&lt;&gt;"",진행중!S60&lt;&gt;"",진행중!S60&lt;&gt;"X",진행중!AA60&lt;&gt;"완료"),진행중!S60,"")</f>
        <v/>
      </c>
      <c r="B504">
        <f>IF($A504="","",진행중!D60)</f>
        <v/>
      </c>
      <c r="C504" t="inlineStr">
        <is>
          <t>창호</t>
        </is>
      </c>
      <c r="D504" s="22">
        <f>IF($A504="","",진행중!V60)</f>
        <v/>
      </c>
      <c r="E504" s="22">
        <f>IF($A504="","",IF(VLOOKUP($C504,설정!$A$4:$B$12,2,0)=0,진행중!W60,MIN(WORKDAY(진행중!V60,VLOOKUP($C504,설정!$A$4:$B$12,2,0)-1),진행중!W60)))</f>
        <v/>
      </c>
      <c r="F504">
        <f>IF($A504="","",COUNTIF($A$2:$A504,$A504))</f>
        <v/>
      </c>
      <c r="G504">
        <f>IF($A504="","",$A504&amp;"|"&amp;$F504)</f>
        <v/>
      </c>
    </row>
    <row r="505">
      <c r="A505">
        <f>IF(AND(진행중!D60&lt;&gt;"",진행중!V60&lt;&gt;"",진행중!T60&lt;&gt;"",진행중!T60&lt;&gt;"X",진행중!AA60&lt;&gt;"완료"),진행중!T60,"")</f>
        <v/>
      </c>
      <c r="B505">
        <f>IF($A505="","",진행중!D60)</f>
        <v/>
      </c>
      <c r="C505" t="inlineStr">
        <is>
          <t>조적</t>
        </is>
      </c>
      <c r="D505" s="22">
        <f>IF($A505="","",진행중!V60)</f>
        <v/>
      </c>
      <c r="E505" s="22">
        <f>IF($A505="","",IF(VLOOKUP($C505,설정!$A$4:$B$12,2,0)=0,진행중!W60,MIN(WORKDAY(진행중!V60,VLOOKUP($C505,설정!$A$4:$B$12,2,0)-1),진행중!W60)))</f>
        <v/>
      </c>
      <c r="F505">
        <f>IF($A505="","",COUNTIF($A$2:$A505,$A505))</f>
        <v/>
      </c>
      <c r="G505">
        <f>IF($A505="","",$A505&amp;"|"&amp;$F505)</f>
        <v/>
      </c>
    </row>
    <row r="506">
      <c r="A506">
        <f>IF(AND(진행중!D61&lt;&gt;"",진행중!V61&lt;&gt;"",진행중!L61&lt;&gt;"",진행중!L61&lt;&gt;"X",진행중!AA61&lt;&gt;"완료"),진행중!L61,"")</f>
        <v/>
      </c>
      <c r="B506">
        <f>IF($A506="","",진행중!D61)</f>
        <v/>
      </c>
      <c r="C506" t="inlineStr">
        <is>
          <t>PM</t>
        </is>
      </c>
      <c r="D506" s="22">
        <f>IF($A506="","",진행중!V61)</f>
        <v/>
      </c>
      <c r="E506" s="22">
        <f>IF($A506="","",IF(VLOOKUP($C506,설정!$A$4:$B$12,2,0)=0,진행중!W61,MIN(WORKDAY(진행중!V61,VLOOKUP($C506,설정!$A$4:$B$12,2,0)-1),진행중!W61)))</f>
        <v/>
      </c>
      <c r="F506">
        <f>IF($A506="","",COUNTIF($A$2:$A506,$A506))</f>
        <v/>
      </c>
      <c r="G506">
        <f>IF($A506="","",$A506&amp;"|"&amp;$F506)</f>
        <v/>
      </c>
    </row>
    <row r="507">
      <c r="A507">
        <f>IF(AND(진행중!D61&lt;&gt;"",진행중!V61&lt;&gt;"",진행중!M61&lt;&gt;"",진행중!M61&lt;&gt;"X",진행중!AA61&lt;&gt;"완료"),진행중!M61,"")</f>
        <v/>
      </c>
      <c r="B507">
        <f>IF($A507="","",진행중!D61)</f>
        <v/>
      </c>
      <c r="C507" t="inlineStr">
        <is>
          <t>검토</t>
        </is>
      </c>
      <c r="D507" s="22">
        <f>IF($A507="","",진행중!V61)</f>
        <v/>
      </c>
      <c r="E507" s="22">
        <f>IF($A507="","",IF(VLOOKUP($C507,설정!$A$4:$B$12,2,0)=0,진행중!W61,MIN(WORKDAY(진행중!V61,VLOOKUP($C507,설정!$A$4:$B$12,2,0)-1),진행중!W61)))</f>
        <v/>
      </c>
      <c r="F507">
        <f>IF($A507="","",COUNTIF($A$2:$A507,$A507))</f>
        <v/>
      </c>
      <c r="G507">
        <f>IF($A507="","",$A507&amp;"|"&amp;$F507)</f>
        <v/>
      </c>
    </row>
    <row r="508">
      <c r="A508">
        <f>IF(AND(진행중!D61&lt;&gt;"",진행중!V61&lt;&gt;"",진행중!N61&lt;&gt;"",진행중!N61&lt;&gt;"X",진행중!AA61&lt;&gt;"완료"),진행중!N61,"")</f>
        <v/>
      </c>
      <c r="B508">
        <f>IF($A508="","",진행중!D61)</f>
        <v/>
      </c>
      <c r="C508" t="inlineStr">
        <is>
          <t>내역</t>
        </is>
      </c>
      <c r="D508" s="22">
        <f>IF($A508="","",진행중!V61)</f>
        <v/>
      </c>
      <c r="E508" s="22">
        <f>IF($A508="","",IF(VLOOKUP($C508,설정!$A$4:$B$12,2,0)=0,진행중!W61,MIN(WORKDAY(진행중!V61,VLOOKUP($C508,설정!$A$4:$B$12,2,0)-1),진행중!W61)))</f>
        <v/>
      </c>
      <c r="F508">
        <f>IF($A508="","",COUNTIF($A$2:$A508,$A508))</f>
        <v/>
      </c>
      <c r="G508">
        <f>IF($A508="","",$A508&amp;"|"&amp;$F508)</f>
        <v/>
      </c>
    </row>
    <row r="509">
      <c r="A509">
        <f>IF(AND(진행중!D61&lt;&gt;"",진행중!V61&lt;&gt;"",진행중!O61&lt;&gt;"",진행중!O61&lt;&gt;"X",진행중!AA61&lt;&gt;"완료"),진행중!O61,"")</f>
        <v/>
      </c>
      <c r="B509">
        <f>IF($A509="","",진행중!D61)</f>
        <v/>
      </c>
      <c r="C509" t="inlineStr">
        <is>
          <t>가설</t>
        </is>
      </c>
      <c r="D509" s="22">
        <f>IF($A509="","",진행중!V61)</f>
        <v/>
      </c>
      <c r="E509" s="22">
        <f>IF($A509="","",IF(VLOOKUP($C509,설정!$A$4:$B$12,2,0)=0,진행중!W61,MIN(WORKDAY(진행중!V61,VLOOKUP($C509,설정!$A$4:$B$12,2,0)-1),진행중!W61)))</f>
        <v/>
      </c>
      <c r="F509">
        <f>IF($A509="","",COUNTIF($A$2:$A509,$A509))</f>
        <v/>
      </c>
      <c r="G509">
        <f>IF($A509="","",$A509&amp;"|"&amp;$F509)</f>
        <v/>
      </c>
    </row>
    <row r="510">
      <c r="A510">
        <f>IF(AND(진행중!D61&lt;&gt;"",진행중!V61&lt;&gt;"",진행중!P61&lt;&gt;"",진행중!P61&lt;&gt;"X",진행중!AA61&lt;&gt;"완료"),진행중!P61,"")</f>
        <v/>
      </c>
      <c r="B510">
        <f>IF($A510="","",진행중!D61)</f>
        <v/>
      </c>
      <c r="C510" t="inlineStr">
        <is>
          <t>세대</t>
        </is>
      </c>
      <c r="D510" s="22">
        <f>IF($A510="","",진행중!V61)</f>
        <v/>
      </c>
      <c r="E510" s="22">
        <f>IF($A510="","",IF(VLOOKUP($C510,설정!$A$4:$B$12,2,0)=0,진행중!W61,MIN(WORKDAY(진행중!V61,VLOOKUP($C510,설정!$A$4:$B$12,2,0)-1),진행중!W61)))</f>
        <v/>
      </c>
      <c r="F510">
        <f>IF($A510="","",COUNTIF($A$2:$A510,$A510))</f>
        <v/>
      </c>
      <c r="G510">
        <f>IF($A510="","",$A510&amp;"|"&amp;$F510)</f>
        <v/>
      </c>
    </row>
    <row r="511">
      <c r="A511">
        <f>IF(AND(진행중!D61&lt;&gt;"",진행중!V61&lt;&gt;"",진행중!Q61&lt;&gt;"",진행중!Q61&lt;&gt;"X",진행중!AA61&lt;&gt;"완료"),진행중!Q61,"")</f>
        <v/>
      </c>
      <c r="B511">
        <f>IF($A511="","",진행중!D61)</f>
        <v/>
      </c>
      <c r="C511" t="inlineStr">
        <is>
          <t>내부</t>
        </is>
      </c>
      <c r="D511" s="22">
        <f>IF($A511="","",진행중!V61)</f>
        <v/>
      </c>
      <c r="E511" s="22">
        <f>IF($A511="","",IF(VLOOKUP($C511,설정!$A$4:$B$12,2,0)=0,진행중!W61,MIN(WORKDAY(진행중!V61,VLOOKUP($C511,설정!$A$4:$B$12,2,0)-1),진행중!W61)))</f>
        <v/>
      </c>
      <c r="F511">
        <f>IF($A511="","",COUNTIF($A$2:$A511,$A511))</f>
        <v/>
      </c>
      <c r="G511">
        <f>IF($A511="","",$A511&amp;"|"&amp;$F511)</f>
        <v/>
      </c>
    </row>
    <row r="512">
      <c r="A512">
        <f>IF(AND(진행중!D61&lt;&gt;"",진행중!V61&lt;&gt;"",진행중!R61&lt;&gt;"",진행중!R61&lt;&gt;"X",진행중!AA61&lt;&gt;"완료"),진행중!R61,"")</f>
        <v/>
      </c>
      <c r="B512">
        <f>IF($A512="","",진행중!D61)</f>
        <v/>
      </c>
      <c r="C512" t="inlineStr">
        <is>
          <t>외부</t>
        </is>
      </c>
      <c r="D512" s="22">
        <f>IF($A512="","",진행중!V61)</f>
        <v/>
      </c>
      <c r="E512" s="22">
        <f>IF($A512="","",IF(VLOOKUP($C512,설정!$A$4:$B$12,2,0)=0,진행중!W61,MIN(WORKDAY(진행중!V61,VLOOKUP($C512,설정!$A$4:$B$12,2,0)-1),진행중!W61)))</f>
        <v/>
      </c>
      <c r="F512">
        <f>IF($A512="","",COUNTIF($A$2:$A512,$A512))</f>
        <v/>
      </c>
      <c r="G512">
        <f>IF($A512="","",$A512&amp;"|"&amp;$F512)</f>
        <v/>
      </c>
    </row>
    <row r="513">
      <c r="A513">
        <f>IF(AND(진행중!D61&lt;&gt;"",진행중!V61&lt;&gt;"",진행중!S61&lt;&gt;"",진행중!S61&lt;&gt;"X",진행중!AA61&lt;&gt;"완료"),진행중!S61,"")</f>
        <v/>
      </c>
      <c r="B513">
        <f>IF($A513="","",진행중!D61)</f>
        <v/>
      </c>
      <c r="C513" t="inlineStr">
        <is>
          <t>창호</t>
        </is>
      </c>
      <c r="D513" s="22">
        <f>IF($A513="","",진행중!V61)</f>
        <v/>
      </c>
      <c r="E513" s="22">
        <f>IF($A513="","",IF(VLOOKUP($C513,설정!$A$4:$B$12,2,0)=0,진행중!W61,MIN(WORKDAY(진행중!V61,VLOOKUP($C513,설정!$A$4:$B$12,2,0)-1),진행중!W61)))</f>
        <v/>
      </c>
      <c r="F513">
        <f>IF($A513="","",COUNTIF($A$2:$A513,$A513))</f>
        <v/>
      </c>
      <c r="G513">
        <f>IF($A513="","",$A513&amp;"|"&amp;$F513)</f>
        <v/>
      </c>
    </row>
    <row r="514">
      <c r="A514">
        <f>IF(AND(진행중!D61&lt;&gt;"",진행중!V61&lt;&gt;"",진행중!T61&lt;&gt;"",진행중!T61&lt;&gt;"X",진행중!AA61&lt;&gt;"완료"),진행중!T61,"")</f>
        <v/>
      </c>
      <c r="B514">
        <f>IF($A514="","",진행중!D61)</f>
        <v/>
      </c>
      <c r="C514" t="inlineStr">
        <is>
          <t>조적</t>
        </is>
      </c>
      <c r="D514" s="22">
        <f>IF($A514="","",진행중!V61)</f>
        <v/>
      </c>
      <c r="E514" s="22">
        <f>IF($A514="","",IF(VLOOKUP($C514,설정!$A$4:$B$12,2,0)=0,진행중!W61,MIN(WORKDAY(진행중!V61,VLOOKUP($C514,설정!$A$4:$B$12,2,0)-1),진행중!W61)))</f>
        <v/>
      </c>
      <c r="F514">
        <f>IF($A514="","",COUNTIF($A$2:$A514,$A514))</f>
        <v/>
      </c>
      <c r="G514">
        <f>IF($A514="","",$A514&amp;"|"&amp;$F514)</f>
        <v/>
      </c>
    </row>
    <row r="515">
      <c r="A515">
        <f>IF(AND(진행중!D62&lt;&gt;"",진행중!V62&lt;&gt;"",진행중!L62&lt;&gt;"",진행중!L62&lt;&gt;"X",진행중!AA62&lt;&gt;"완료"),진행중!L62,"")</f>
        <v/>
      </c>
      <c r="B515">
        <f>IF($A515="","",진행중!D62)</f>
        <v/>
      </c>
      <c r="C515" t="inlineStr">
        <is>
          <t>PM</t>
        </is>
      </c>
      <c r="D515" s="22">
        <f>IF($A515="","",진행중!V62)</f>
        <v/>
      </c>
      <c r="E515" s="22">
        <f>IF($A515="","",IF(VLOOKUP($C515,설정!$A$4:$B$12,2,0)=0,진행중!W62,MIN(WORKDAY(진행중!V62,VLOOKUP($C515,설정!$A$4:$B$12,2,0)-1),진행중!W62)))</f>
        <v/>
      </c>
      <c r="F515">
        <f>IF($A515="","",COUNTIF($A$2:$A515,$A515))</f>
        <v/>
      </c>
      <c r="G515">
        <f>IF($A515="","",$A515&amp;"|"&amp;$F515)</f>
        <v/>
      </c>
    </row>
    <row r="516">
      <c r="A516">
        <f>IF(AND(진행중!D62&lt;&gt;"",진행중!V62&lt;&gt;"",진행중!M62&lt;&gt;"",진행중!M62&lt;&gt;"X",진행중!AA62&lt;&gt;"완료"),진행중!M62,"")</f>
        <v/>
      </c>
      <c r="B516">
        <f>IF($A516="","",진행중!D62)</f>
        <v/>
      </c>
      <c r="C516" t="inlineStr">
        <is>
          <t>검토</t>
        </is>
      </c>
      <c r="D516" s="22">
        <f>IF($A516="","",진행중!V62)</f>
        <v/>
      </c>
      <c r="E516" s="22">
        <f>IF($A516="","",IF(VLOOKUP($C516,설정!$A$4:$B$12,2,0)=0,진행중!W62,MIN(WORKDAY(진행중!V62,VLOOKUP($C516,설정!$A$4:$B$12,2,0)-1),진행중!W62)))</f>
        <v/>
      </c>
      <c r="F516">
        <f>IF($A516="","",COUNTIF($A$2:$A516,$A516))</f>
        <v/>
      </c>
      <c r="G516">
        <f>IF($A516="","",$A516&amp;"|"&amp;$F516)</f>
        <v/>
      </c>
    </row>
    <row r="517">
      <c r="A517">
        <f>IF(AND(진행중!D62&lt;&gt;"",진행중!V62&lt;&gt;"",진행중!N62&lt;&gt;"",진행중!N62&lt;&gt;"X",진행중!AA62&lt;&gt;"완료"),진행중!N62,"")</f>
        <v/>
      </c>
      <c r="B517">
        <f>IF($A517="","",진행중!D62)</f>
        <v/>
      </c>
      <c r="C517" t="inlineStr">
        <is>
          <t>내역</t>
        </is>
      </c>
      <c r="D517" s="22">
        <f>IF($A517="","",진행중!V62)</f>
        <v/>
      </c>
      <c r="E517" s="22">
        <f>IF($A517="","",IF(VLOOKUP($C517,설정!$A$4:$B$12,2,0)=0,진행중!W62,MIN(WORKDAY(진행중!V62,VLOOKUP($C517,설정!$A$4:$B$12,2,0)-1),진행중!W62)))</f>
        <v/>
      </c>
      <c r="F517">
        <f>IF($A517="","",COUNTIF($A$2:$A517,$A517))</f>
        <v/>
      </c>
      <c r="G517">
        <f>IF($A517="","",$A517&amp;"|"&amp;$F517)</f>
        <v/>
      </c>
    </row>
    <row r="518">
      <c r="A518">
        <f>IF(AND(진행중!D62&lt;&gt;"",진행중!V62&lt;&gt;"",진행중!O62&lt;&gt;"",진행중!O62&lt;&gt;"X",진행중!AA62&lt;&gt;"완료"),진행중!O62,"")</f>
        <v/>
      </c>
      <c r="B518">
        <f>IF($A518="","",진행중!D62)</f>
        <v/>
      </c>
      <c r="C518" t="inlineStr">
        <is>
          <t>가설</t>
        </is>
      </c>
      <c r="D518" s="22">
        <f>IF($A518="","",진행중!V62)</f>
        <v/>
      </c>
      <c r="E518" s="22">
        <f>IF($A518="","",IF(VLOOKUP($C518,설정!$A$4:$B$12,2,0)=0,진행중!W62,MIN(WORKDAY(진행중!V62,VLOOKUP($C518,설정!$A$4:$B$12,2,0)-1),진행중!W62)))</f>
        <v/>
      </c>
      <c r="F518">
        <f>IF($A518="","",COUNTIF($A$2:$A518,$A518))</f>
        <v/>
      </c>
      <c r="G518">
        <f>IF($A518="","",$A518&amp;"|"&amp;$F518)</f>
        <v/>
      </c>
    </row>
    <row r="519">
      <c r="A519">
        <f>IF(AND(진행중!D62&lt;&gt;"",진행중!V62&lt;&gt;"",진행중!P62&lt;&gt;"",진행중!P62&lt;&gt;"X",진행중!AA62&lt;&gt;"완료"),진행중!P62,"")</f>
        <v/>
      </c>
      <c r="B519">
        <f>IF($A519="","",진행중!D62)</f>
        <v/>
      </c>
      <c r="C519" t="inlineStr">
        <is>
          <t>세대</t>
        </is>
      </c>
      <c r="D519" s="22">
        <f>IF($A519="","",진행중!V62)</f>
        <v/>
      </c>
      <c r="E519" s="22">
        <f>IF($A519="","",IF(VLOOKUP($C519,설정!$A$4:$B$12,2,0)=0,진행중!W62,MIN(WORKDAY(진행중!V62,VLOOKUP($C519,설정!$A$4:$B$12,2,0)-1),진행중!W62)))</f>
        <v/>
      </c>
      <c r="F519">
        <f>IF($A519="","",COUNTIF($A$2:$A519,$A519))</f>
        <v/>
      </c>
      <c r="G519">
        <f>IF($A519="","",$A519&amp;"|"&amp;$F519)</f>
        <v/>
      </c>
    </row>
    <row r="520">
      <c r="A520">
        <f>IF(AND(진행중!D62&lt;&gt;"",진행중!V62&lt;&gt;"",진행중!Q62&lt;&gt;"",진행중!Q62&lt;&gt;"X",진행중!AA62&lt;&gt;"완료"),진행중!Q62,"")</f>
        <v/>
      </c>
      <c r="B520">
        <f>IF($A520="","",진행중!D62)</f>
        <v/>
      </c>
      <c r="C520" t="inlineStr">
        <is>
          <t>내부</t>
        </is>
      </c>
      <c r="D520" s="22">
        <f>IF($A520="","",진행중!V62)</f>
        <v/>
      </c>
      <c r="E520" s="22">
        <f>IF($A520="","",IF(VLOOKUP($C520,설정!$A$4:$B$12,2,0)=0,진행중!W62,MIN(WORKDAY(진행중!V62,VLOOKUP($C520,설정!$A$4:$B$12,2,0)-1),진행중!W62)))</f>
        <v/>
      </c>
      <c r="F520">
        <f>IF($A520="","",COUNTIF($A$2:$A520,$A520))</f>
        <v/>
      </c>
      <c r="G520">
        <f>IF($A520="","",$A520&amp;"|"&amp;$F520)</f>
        <v/>
      </c>
    </row>
    <row r="521">
      <c r="A521">
        <f>IF(AND(진행중!D62&lt;&gt;"",진행중!V62&lt;&gt;"",진행중!R62&lt;&gt;"",진행중!R62&lt;&gt;"X",진행중!AA62&lt;&gt;"완료"),진행중!R62,"")</f>
        <v/>
      </c>
      <c r="B521">
        <f>IF($A521="","",진행중!D62)</f>
        <v/>
      </c>
      <c r="C521" t="inlineStr">
        <is>
          <t>외부</t>
        </is>
      </c>
      <c r="D521" s="22">
        <f>IF($A521="","",진행중!V62)</f>
        <v/>
      </c>
      <c r="E521" s="22">
        <f>IF($A521="","",IF(VLOOKUP($C521,설정!$A$4:$B$12,2,0)=0,진행중!W62,MIN(WORKDAY(진행중!V62,VLOOKUP($C521,설정!$A$4:$B$12,2,0)-1),진행중!W62)))</f>
        <v/>
      </c>
      <c r="F521">
        <f>IF($A521="","",COUNTIF($A$2:$A521,$A521))</f>
        <v/>
      </c>
      <c r="G521">
        <f>IF($A521="","",$A521&amp;"|"&amp;$F521)</f>
        <v/>
      </c>
    </row>
    <row r="522">
      <c r="A522">
        <f>IF(AND(진행중!D62&lt;&gt;"",진행중!V62&lt;&gt;"",진행중!S62&lt;&gt;"",진행중!S62&lt;&gt;"X",진행중!AA62&lt;&gt;"완료"),진행중!S62,"")</f>
        <v/>
      </c>
      <c r="B522">
        <f>IF($A522="","",진행중!D62)</f>
        <v/>
      </c>
      <c r="C522" t="inlineStr">
        <is>
          <t>창호</t>
        </is>
      </c>
      <c r="D522" s="22">
        <f>IF($A522="","",진행중!V62)</f>
        <v/>
      </c>
      <c r="E522" s="22">
        <f>IF($A522="","",IF(VLOOKUP($C522,설정!$A$4:$B$12,2,0)=0,진행중!W62,MIN(WORKDAY(진행중!V62,VLOOKUP($C522,설정!$A$4:$B$12,2,0)-1),진행중!W62)))</f>
        <v/>
      </c>
      <c r="F522">
        <f>IF($A522="","",COUNTIF($A$2:$A522,$A522))</f>
        <v/>
      </c>
      <c r="G522">
        <f>IF($A522="","",$A522&amp;"|"&amp;$F522)</f>
        <v/>
      </c>
    </row>
    <row r="523">
      <c r="A523">
        <f>IF(AND(진행중!D62&lt;&gt;"",진행중!V62&lt;&gt;"",진행중!T62&lt;&gt;"",진행중!T62&lt;&gt;"X",진행중!AA62&lt;&gt;"완료"),진행중!T62,"")</f>
        <v/>
      </c>
      <c r="B523">
        <f>IF($A523="","",진행중!D62)</f>
        <v/>
      </c>
      <c r="C523" t="inlineStr">
        <is>
          <t>조적</t>
        </is>
      </c>
      <c r="D523" s="22">
        <f>IF($A523="","",진행중!V62)</f>
        <v/>
      </c>
      <c r="E523" s="22">
        <f>IF($A523="","",IF(VLOOKUP($C523,설정!$A$4:$B$12,2,0)=0,진행중!W62,MIN(WORKDAY(진행중!V62,VLOOKUP($C523,설정!$A$4:$B$12,2,0)-1),진행중!W62)))</f>
        <v/>
      </c>
      <c r="F523">
        <f>IF($A523="","",COUNTIF($A$2:$A523,$A523))</f>
        <v/>
      </c>
      <c r="G523">
        <f>IF($A523="","",$A523&amp;"|"&amp;$F523)</f>
        <v/>
      </c>
    </row>
    <row r="524">
      <c r="A524">
        <f>IF(AND(진행중!D63&lt;&gt;"",진행중!V63&lt;&gt;"",진행중!L63&lt;&gt;"",진행중!L63&lt;&gt;"X",진행중!AA63&lt;&gt;"완료"),진행중!L63,"")</f>
        <v/>
      </c>
      <c r="B524">
        <f>IF($A524="","",진행중!D63)</f>
        <v/>
      </c>
      <c r="C524" t="inlineStr">
        <is>
          <t>PM</t>
        </is>
      </c>
      <c r="D524" s="22">
        <f>IF($A524="","",진행중!V63)</f>
        <v/>
      </c>
      <c r="E524" s="22">
        <f>IF($A524="","",IF(VLOOKUP($C524,설정!$A$4:$B$12,2,0)=0,진행중!W63,MIN(WORKDAY(진행중!V63,VLOOKUP($C524,설정!$A$4:$B$12,2,0)-1),진행중!W63)))</f>
        <v/>
      </c>
      <c r="F524">
        <f>IF($A524="","",COUNTIF($A$2:$A524,$A524))</f>
        <v/>
      </c>
      <c r="G524">
        <f>IF($A524="","",$A524&amp;"|"&amp;$F524)</f>
        <v/>
      </c>
    </row>
    <row r="525">
      <c r="A525">
        <f>IF(AND(진행중!D63&lt;&gt;"",진행중!V63&lt;&gt;"",진행중!M63&lt;&gt;"",진행중!M63&lt;&gt;"X",진행중!AA63&lt;&gt;"완료"),진행중!M63,"")</f>
        <v/>
      </c>
      <c r="B525">
        <f>IF($A525="","",진행중!D63)</f>
        <v/>
      </c>
      <c r="C525" t="inlineStr">
        <is>
          <t>검토</t>
        </is>
      </c>
      <c r="D525" s="22">
        <f>IF($A525="","",진행중!V63)</f>
        <v/>
      </c>
      <c r="E525" s="22">
        <f>IF($A525="","",IF(VLOOKUP($C525,설정!$A$4:$B$12,2,0)=0,진행중!W63,MIN(WORKDAY(진행중!V63,VLOOKUP($C525,설정!$A$4:$B$12,2,0)-1),진행중!W63)))</f>
        <v/>
      </c>
      <c r="F525">
        <f>IF($A525="","",COUNTIF($A$2:$A525,$A525))</f>
        <v/>
      </c>
      <c r="G525">
        <f>IF($A525="","",$A525&amp;"|"&amp;$F525)</f>
        <v/>
      </c>
    </row>
    <row r="526">
      <c r="A526">
        <f>IF(AND(진행중!D63&lt;&gt;"",진행중!V63&lt;&gt;"",진행중!N63&lt;&gt;"",진행중!N63&lt;&gt;"X",진행중!AA63&lt;&gt;"완료"),진행중!N63,"")</f>
        <v/>
      </c>
      <c r="B526">
        <f>IF($A526="","",진행중!D63)</f>
        <v/>
      </c>
      <c r="C526" t="inlineStr">
        <is>
          <t>내역</t>
        </is>
      </c>
      <c r="D526" s="22">
        <f>IF($A526="","",진행중!V63)</f>
        <v/>
      </c>
      <c r="E526" s="22">
        <f>IF($A526="","",IF(VLOOKUP($C526,설정!$A$4:$B$12,2,0)=0,진행중!W63,MIN(WORKDAY(진행중!V63,VLOOKUP($C526,설정!$A$4:$B$12,2,0)-1),진행중!W63)))</f>
        <v/>
      </c>
      <c r="F526">
        <f>IF($A526="","",COUNTIF($A$2:$A526,$A526))</f>
        <v/>
      </c>
      <c r="G526">
        <f>IF($A526="","",$A526&amp;"|"&amp;$F526)</f>
        <v/>
      </c>
    </row>
    <row r="527">
      <c r="A527">
        <f>IF(AND(진행중!D63&lt;&gt;"",진행중!V63&lt;&gt;"",진행중!O63&lt;&gt;"",진행중!O63&lt;&gt;"X",진행중!AA63&lt;&gt;"완료"),진행중!O63,"")</f>
        <v/>
      </c>
      <c r="B527">
        <f>IF($A527="","",진행중!D63)</f>
        <v/>
      </c>
      <c r="C527" t="inlineStr">
        <is>
          <t>가설</t>
        </is>
      </c>
      <c r="D527" s="22">
        <f>IF($A527="","",진행중!V63)</f>
        <v/>
      </c>
      <c r="E527" s="22">
        <f>IF($A527="","",IF(VLOOKUP($C527,설정!$A$4:$B$12,2,0)=0,진행중!W63,MIN(WORKDAY(진행중!V63,VLOOKUP($C527,설정!$A$4:$B$12,2,0)-1),진행중!W63)))</f>
        <v/>
      </c>
      <c r="F527">
        <f>IF($A527="","",COUNTIF($A$2:$A527,$A527))</f>
        <v/>
      </c>
      <c r="G527">
        <f>IF($A527="","",$A527&amp;"|"&amp;$F527)</f>
        <v/>
      </c>
    </row>
    <row r="528">
      <c r="A528">
        <f>IF(AND(진행중!D63&lt;&gt;"",진행중!V63&lt;&gt;"",진행중!P63&lt;&gt;"",진행중!P63&lt;&gt;"X",진행중!AA63&lt;&gt;"완료"),진행중!P63,"")</f>
        <v/>
      </c>
      <c r="B528">
        <f>IF($A528="","",진행중!D63)</f>
        <v/>
      </c>
      <c r="C528" t="inlineStr">
        <is>
          <t>세대</t>
        </is>
      </c>
      <c r="D528" s="22">
        <f>IF($A528="","",진행중!V63)</f>
        <v/>
      </c>
      <c r="E528" s="22">
        <f>IF($A528="","",IF(VLOOKUP($C528,설정!$A$4:$B$12,2,0)=0,진행중!W63,MIN(WORKDAY(진행중!V63,VLOOKUP($C528,설정!$A$4:$B$12,2,0)-1),진행중!W63)))</f>
        <v/>
      </c>
      <c r="F528">
        <f>IF($A528="","",COUNTIF($A$2:$A528,$A528))</f>
        <v/>
      </c>
      <c r="G528">
        <f>IF($A528="","",$A528&amp;"|"&amp;$F528)</f>
        <v/>
      </c>
    </row>
    <row r="529">
      <c r="A529">
        <f>IF(AND(진행중!D63&lt;&gt;"",진행중!V63&lt;&gt;"",진행중!Q63&lt;&gt;"",진행중!Q63&lt;&gt;"X",진행중!AA63&lt;&gt;"완료"),진행중!Q63,"")</f>
        <v/>
      </c>
      <c r="B529">
        <f>IF($A529="","",진행중!D63)</f>
        <v/>
      </c>
      <c r="C529" t="inlineStr">
        <is>
          <t>내부</t>
        </is>
      </c>
      <c r="D529" s="22">
        <f>IF($A529="","",진행중!V63)</f>
        <v/>
      </c>
      <c r="E529" s="22">
        <f>IF($A529="","",IF(VLOOKUP($C529,설정!$A$4:$B$12,2,0)=0,진행중!W63,MIN(WORKDAY(진행중!V63,VLOOKUP($C529,설정!$A$4:$B$12,2,0)-1),진행중!W63)))</f>
        <v/>
      </c>
      <c r="F529">
        <f>IF($A529="","",COUNTIF($A$2:$A529,$A529))</f>
        <v/>
      </c>
      <c r="G529">
        <f>IF($A529="","",$A529&amp;"|"&amp;$F529)</f>
        <v/>
      </c>
    </row>
    <row r="530">
      <c r="A530">
        <f>IF(AND(진행중!D63&lt;&gt;"",진행중!V63&lt;&gt;"",진행중!R63&lt;&gt;"",진행중!R63&lt;&gt;"X",진행중!AA63&lt;&gt;"완료"),진행중!R63,"")</f>
        <v/>
      </c>
      <c r="B530">
        <f>IF($A530="","",진행중!D63)</f>
        <v/>
      </c>
      <c r="C530" t="inlineStr">
        <is>
          <t>외부</t>
        </is>
      </c>
      <c r="D530" s="22">
        <f>IF($A530="","",진행중!V63)</f>
        <v/>
      </c>
      <c r="E530" s="22">
        <f>IF($A530="","",IF(VLOOKUP($C530,설정!$A$4:$B$12,2,0)=0,진행중!W63,MIN(WORKDAY(진행중!V63,VLOOKUP($C530,설정!$A$4:$B$12,2,0)-1),진행중!W63)))</f>
        <v/>
      </c>
      <c r="F530">
        <f>IF($A530="","",COUNTIF($A$2:$A530,$A530))</f>
        <v/>
      </c>
      <c r="G530">
        <f>IF($A530="","",$A530&amp;"|"&amp;$F530)</f>
        <v/>
      </c>
    </row>
    <row r="531">
      <c r="A531">
        <f>IF(AND(진행중!D63&lt;&gt;"",진행중!V63&lt;&gt;"",진행중!S63&lt;&gt;"",진행중!S63&lt;&gt;"X",진행중!AA63&lt;&gt;"완료"),진행중!S63,"")</f>
        <v/>
      </c>
      <c r="B531">
        <f>IF($A531="","",진행중!D63)</f>
        <v/>
      </c>
      <c r="C531" t="inlineStr">
        <is>
          <t>창호</t>
        </is>
      </c>
      <c r="D531" s="22">
        <f>IF($A531="","",진행중!V63)</f>
        <v/>
      </c>
      <c r="E531" s="22">
        <f>IF($A531="","",IF(VLOOKUP($C531,설정!$A$4:$B$12,2,0)=0,진행중!W63,MIN(WORKDAY(진행중!V63,VLOOKUP($C531,설정!$A$4:$B$12,2,0)-1),진행중!W63)))</f>
        <v/>
      </c>
      <c r="F531">
        <f>IF($A531="","",COUNTIF($A$2:$A531,$A531))</f>
        <v/>
      </c>
      <c r="G531">
        <f>IF($A531="","",$A531&amp;"|"&amp;$F531)</f>
        <v/>
      </c>
    </row>
    <row r="532">
      <c r="A532">
        <f>IF(AND(진행중!D63&lt;&gt;"",진행중!V63&lt;&gt;"",진행중!T63&lt;&gt;"",진행중!T63&lt;&gt;"X",진행중!AA63&lt;&gt;"완료"),진행중!T63,"")</f>
        <v/>
      </c>
      <c r="B532">
        <f>IF($A532="","",진행중!D63)</f>
        <v/>
      </c>
      <c r="C532" t="inlineStr">
        <is>
          <t>조적</t>
        </is>
      </c>
      <c r="D532" s="22">
        <f>IF($A532="","",진행중!V63)</f>
        <v/>
      </c>
      <c r="E532" s="22">
        <f>IF($A532="","",IF(VLOOKUP($C532,설정!$A$4:$B$12,2,0)=0,진행중!W63,MIN(WORKDAY(진행중!V63,VLOOKUP($C532,설정!$A$4:$B$12,2,0)-1),진행중!W63)))</f>
        <v/>
      </c>
      <c r="F532">
        <f>IF($A532="","",COUNTIF($A$2:$A532,$A532))</f>
        <v/>
      </c>
      <c r="G532">
        <f>IF($A532="","",$A532&amp;"|"&amp;$F532)</f>
        <v/>
      </c>
    </row>
    <row r="533">
      <c r="A533">
        <f>IF(AND(진행중!D64&lt;&gt;"",진행중!V64&lt;&gt;"",진행중!L64&lt;&gt;"",진행중!L64&lt;&gt;"X",진행중!AA64&lt;&gt;"완료"),진행중!L64,"")</f>
        <v/>
      </c>
      <c r="B533">
        <f>IF($A533="","",진행중!D64)</f>
        <v/>
      </c>
      <c r="C533" t="inlineStr">
        <is>
          <t>PM</t>
        </is>
      </c>
      <c r="D533" s="22">
        <f>IF($A533="","",진행중!V64)</f>
        <v/>
      </c>
      <c r="E533" s="22">
        <f>IF($A533="","",IF(VLOOKUP($C533,설정!$A$4:$B$12,2,0)=0,진행중!W64,MIN(WORKDAY(진행중!V64,VLOOKUP($C533,설정!$A$4:$B$12,2,0)-1),진행중!W64)))</f>
        <v/>
      </c>
      <c r="F533">
        <f>IF($A533="","",COUNTIF($A$2:$A533,$A533))</f>
        <v/>
      </c>
      <c r="G533">
        <f>IF($A533="","",$A533&amp;"|"&amp;$F533)</f>
        <v/>
      </c>
    </row>
    <row r="534">
      <c r="A534">
        <f>IF(AND(진행중!D64&lt;&gt;"",진행중!V64&lt;&gt;"",진행중!M64&lt;&gt;"",진행중!M64&lt;&gt;"X",진행중!AA64&lt;&gt;"완료"),진행중!M64,"")</f>
        <v/>
      </c>
      <c r="B534">
        <f>IF($A534="","",진행중!D64)</f>
        <v/>
      </c>
      <c r="C534" t="inlineStr">
        <is>
          <t>검토</t>
        </is>
      </c>
      <c r="D534" s="22">
        <f>IF($A534="","",진행중!V64)</f>
        <v/>
      </c>
      <c r="E534" s="22">
        <f>IF($A534="","",IF(VLOOKUP($C534,설정!$A$4:$B$12,2,0)=0,진행중!W64,MIN(WORKDAY(진행중!V64,VLOOKUP($C534,설정!$A$4:$B$12,2,0)-1),진행중!W64)))</f>
        <v/>
      </c>
      <c r="F534">
        <f>IF($A534="","",COUNTIF($A$2:$A534,$A534))</f>
        <v/>
      </c>
      <c r="G534">
        <f>IF($A534="","",$A534&amp;"|"&amp;$F534)</f>
        <v/>
      </c>
    </row>
    <row r="535">
      <c r="A535">
        <f>IF(AND(진행중!D64&lt;&gt;"",진행중!V64&lt;&gt;"",진행중!N64&lt;&gt;"",진행중!N64&lt;&gt;"X",진행중!AA64&lt;&gt;"완료"),진행중!N64,"")</f>
        <v/>
      </c>
      <c r="B535">
        <f>IF($A535="","",진행중!D64)</f>
        <v/>
      </c>
      <c r="C535" t="inlineStr">
        <is>
          <t>내역</t>
        </is>
      </c>
      <c r="D535" s="22">
        <f>IF($A535="","",진행중!V64)</f>
        <v/>
      </c>
      <c r="E535" s="22">
        <f>IF($A535="","",IF(VLOOKUP($C535,설정!$A$4:$B$12,2,0)=0,진행중!W64,MIN(WORKDAY(진행중!V64,VLOOKUP($C535,설정!$A$4:$B$12,2,0)-1),진행중!W64)))</f>
        <v/>
      </c>
      <c r="F535">
        <f>IF($A535="","",COUNTIF($A$2:$A535,$A535))</f>
        <v/>
      </c>
      <c r="G535">
        <f>IF($A535="","",$A535&amp;"|"&amp;$F535)</f>
        <v/>
      </c>
    </row>
    <row r="536">
      <c r="A536">
        <f>IF(AND(진행중!D64&lt;&gt;"",진행중!V64&lt;&gt;"",진행중!O64&lt;&gt;"",진행중!O64&lt;&gt;"X",진행중!AA64&lt;&gt;"완료"),진행중!O64,"")</f>
        <v/>
      </c>
      <c r="B536">
        <f>IF($A536="","",진행중!D64)</f>
        <v/>
      </c>
      <c r="C536" t="inlineStr">
        <is>
          <t>가설</t>
        </is>
      </c>
      <c r="D536" s="22">
        <f>IF($A536="","",진행중!V64)</f>
        <v/>
      </c>
      <c r="E536" s="22">
        <f>IF($A536="","",IF(VLOOKUP($C536,설정!$A$4:$B$12,2,0)=0,진행중!W64,MIN(WORKDAY(진행중!V64,VLOOKUP($C536,설정!$A$4:$B$12,2,0)-1),진행중!W64)))</f>
        <v/>
      </c>
      <c r="F536">
        <f>IF($A536="","",COUNTIF($A$2:$A536,$A536))</f>
        <v/>
      </c>
      <c r="G536">
        <f>IF($A536="","",$A536&amp;"|"&amp;$F536)</f>
        <v/>
      </c>
    </row>
    <row r="537">
      <c r="A537">
        <f>IF(AND(진행중!D64&lt;&gt;"",진행중!V64&lt;&gt;"",진행중!P64&lt;&gt;"",진행중!P64&lt;&gt;"X",진행중!AA64&lt;&gt;"완료"),진행중!P64,"")</f>
        <v/>
      </c>
      <c r="B537">
        <f>IF($A537="","",진행중!D64)</f>
        <v/>
      </c>
      <c r="C537" t="inlineStr">
        <is>
          <t>세대</t>
        </is>
      </c>
      <c r="D537" s="22">
        <f>IF($A537="","",진행중!V64)</f>
        <v/>
      </c>
      <c r="E537" s="22">
        <f>IF($A537="","",IF(VLOOKUP($C537,설정!$A$4:$B$12,2,0)=0,진행중!W64,MIN(WORKDAY(진행중!V64,VLOOKUP($C537,설정!$A$4:$B$12,2,0)-1),진행중!W64)))</f>
        <v/>
      </c>
      <c r="F537">
        <f>IF($A537="","",COUNTIF($A$2:$A537,$A537))</f>
        <v/>
      </c>
      <c r="G537">
        <f>IF($A537="","",$A537&amp;"|"&amp;$F537)</f>
        <v/>
      </c>
    </row>
    <row r="538">
      <c r="A538">
        <f>IF(AND(진행중!D64&lt;&gt;"",진행중!V64&lt;&gt;"",진행중!Q64&lt;&gt;"",진행중!Q64&lt;&gt;"X",진행중!AA64&lt;&gt;"완료"),진행중!Q64,"")</f>
        <v/>
      </c>
      <c r="B538">
        <f>IF($A538="","",진행중!D64)</f>
        <v/>
      </c>
      <c r="C538" t="inlineStr">
        <is>
          <t>내부</t>
        </is>
      </c>
      <c r="D538" s="22">
        <f>IF($A538="","",진행중!V64)</f>
        <v/>
      </c>
      <c r="E538" s="22">
        <f>IF($A538="","",IF(VLOOKUP($C538,설정!$A$4:$B$12,2,0)=0,진행중!W64,MIN(WORKDAY(진행중!V64,VLOOKUP($C538,설정!$A$4:$B$12,2,0)-1),진행중!W64)))</f>
        <v/>
      </c>
      <c r="F538">
        <f>IF($A538="","",COUNTIF($A$2:$A538,$A538))</f>
        <v/>
      </c>
      <c r="G538">
        <f>IF($A538="","",$A538&amp;"|"&amp;$F538)</f>
        <v/>
      </c>
    </row>
    <row r="539">
      <c r="A539">
        <f>IF(AND(진행중!D64&lt;&gt;"",진행중!V64&lt;&gt;"",진행중!R64&lt;&gt;"",진행중!R64&lt;&gt;"X",진행중!AA64&lt;&gt;"완료"),진행중!R64,"")</f>
        <v/>
      </c>
      <c r="B539">
        <f>IF($A539="","",진행중!D64)</f>
        <v/>
      </c>
      <c r="C539" t="inlineStr">
        <is>
          <t>외부</t>
        </is>
      </c>
      <c r="D539" s="22">
        <f>IF($A539="","",진행중!V64)</f>
        <v/>
      </c>
      <c r="E539" s="22">
        <f>IF($A539="","",IF(VLOOKUP($C539,설정!$A$4:$B$12,2,0)=0,진행중!W64,MIN(WORKDAY(진행중!V64,VLOOKUP($C539,설정!$A$4:$B$12,2,0)-1),진행중!W64)))</f>
        <v/>
      </c>
      <c r="F539">
        <f>IF($A539="","",COUNTIF($A$2:$A539,$A539))</f>
        <v/>
      </c>
      <c r="G539">
        <f>IF($A539="","",$A539&amp;"|"&amp;$F539)</f>
        <v/>
      </c>
    </row>
    <row r="540">
      <c r="A540">
        <f>IF(AND(진행중!D64&lt;&gt;"",진행중!V64&lt;&gt;"",진행중!S64&lt;&gt;"",진행중!S64&lt;&gt;"X",진행중!AA64&lt;&gt;"완료"),진행중!S64,"")</f>
        <v/>
      </c>
      <c r="B540">
        <f>IF($A540="","",진행중!D64)</f>
        <v/>
      </c>
      <c r="C540" t="inlineStr">
        <is>
          <t>창호</t>
        </is>
      </c>
      <c r="D540" s="22">
        <f>IF($A540="","",진행중!V64)</f>
        <v/>
      </c>
      <c r="E540" s="22">
        <f>IF($A540="","",IF(VLOOKUP($C540,설정!$A$4:$B$12,2,0)=0,진행중!W64,MIN(WORKDAY(진행중!V64,VLOOKUP($C540,설정!$A$4:$B$12,2,0)-1),진행중!W64)))</f>
        <v/>
      </c>
      <c r="F540">
        <f>IF($A540="","",COUNTIF($A$2:$A540,$A540))</f>
        <v/>
      </c>
      <c r="G540">
        <f>IF($A540="","",$A540&amp;"|"&amp;$F540)</f>
        <v/>
      </c>
    </row>
    <row r="541">
      <c r="A541">
        <f>IF(AND(진행중!D64&lt;&gt;"",진행중!V64&lt;&gt;"",진행중!T64&lt;&gt;"",진행중!T64&lt;&gt;"X",진행중!AA64&lt;&gt;"완료"),진행중!T64,"")</f>
        <v/>
      </c>
      <c r="B541">
        <f>IF($A541="","",진행중!D64)</f>
        <v/>
      </c>
      <c r="C541" t="inlineStr">
        <is>
          <t>조적</t>
        </is>
      </c>
      <c r="D541" s="22">
        <f>IF($A541="","",진행중!V64)</f>
        <v/>
      </c>
      <c r="E541" s="22">
        <f>IF($A541="","",IF(VLOOKUP($C541,설정!$A$4:$B$12,2,0)=0,진행중!W64,MIN(WORKDAY(진행중!V64,VLOOKUP($C541,설정!$A$4:$B$12,2,0)-1),진행중!W64)))</f>
        <v/>
      </c>
      <c r="F541">
        <f>IF($A541="","",COUNTIF($A$2:$A541,$A541))</f>
        <v/>
      </c>
      <c r="G541">
        <f>IF($A541="","",$A541&amp;"|"&amp;$F541)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2026-07-03T00:47:39Z</dcterms:created>
  <dcterms:modified xsi:type="dcterms:W3CDTF">2026-07-03T00:47:39Z</dcterms:modified>
</cp:coreProperties>
</file>