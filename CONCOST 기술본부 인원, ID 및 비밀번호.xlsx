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-owner\Downloads\"/>
    </mc:Choice>
  </mc:AlternateContent>
  <bookViews>
    <workbookView xWindow="0" yWindow="0" windowWidth="28800" windowHeight="12270"/>
  </bookViews>
  <sheets>
    <sheet name="2026인력현황" sheetId="1" r:id="rId1"/>
  </sheets>
  <definedNames>
    <definedName name="_xlnm._FilterDatabase" localSheetId="0" hidden="1">'2026인력현황'!$A$9:$N$101</definedName>
    <definedName name="_xlnm.Print_Area" localSheetId="0">'2026인력현황'!$A$1:$N$42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43" i="1" l="1"/>
  <c r="P42" i="1"/>
  <c r="O42" i="1"/>
  <c r="P41" i="1"/>
  <c r="O41" i="1"/>
  <c r="P40" i="1"/>
  <c r="O40" i="1"/>
  <c r="P39" i="1"/>
  <c r="O39" i="1"/>
  <c r="P38" i="1"/>
  <c r="O38" i="1"/>
  <c r="P37" i="1"/>
  <c r="O37" i="1"/>
  <c r="P36" i="1"/>
  <c r="O36" i="1"/>
  <c r="P35" i="1"/>
  <c r="O35" i="1"/>
  <c r="P34" i="1"/>
  <c r="O34" i="1"/>
  <c r="P33" i="1"/>
  <c r="O33" i="1"/>
  <c r="P32" i="1"/>
  <c r="O32" i="1"/>
  <c r="P31" i="1"/>
  <c r="O31" i="1"/>
  <c r="P30" i="1"/>
  <c r="O30" i="1"/>
  <c r="P29" i="1"/>
  <c r="O29" i="1"/>
  <c r="P28" i="1"/>
  <c r="O28" i="1"/>
  <c r="P27" i="1"/>
  <c r="O27" i="1"/>
  <c r="P26" i="1"/>
  <c r="O26" i="1"/>
  <c r="P25" i="1"/>
  <c r="O25" i="1"/>
  <c r="P24" i="1"/>
  <c r="O24" i="1"/>
  <c r="P23" i="1"/>
  <c r="O23" i="1"/>
  <c r="P22" i="1"/>
  <c r="O22" i="1"/>
  <c r="P21" i="1"/>
  <c r="O21" i="1"/>
  <c r="P20" i="1"/>
  <c r="O20" i="1"/>
  <c r="P19" i="1"/>
  <c r="O19" i="1"/>
  <c r="P18" i="1"/>
  <c r="O18" i="1"/>
  <c r="P17" i="1"/>
  <c r="O17" i="1"/>
  <c r="P16" i="1"/>
  <c r="O16" i="1"/>
  <c r="P15" i="1"/>
  <c r="O15" i="1"/>
  <c r="P14" i="1"/>
  <c r="O14" i="1"/>
  <c r="P13" i="1"/>
  <c r="O13" i="1"/>
  <c r="P12" i="1"/>
  <c r="O12" i="1"/>
  <c r="P11" i="1"/>
  <c r="O11" i="1"/>
  <c r="P10" i="1"/>
  <c r="O10" i="1"/>
  <c r="C6" i="1" l="1"/>
  <c r="C5" i="1"/>
  <c r="C7" i="1" s="1"/>
  <c r="A11" i="1" l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</calcChain>
</file>

<file path=xl/sharedStrings.xml><?xml version="1.0" encoding="utf-8"?>
<sst xmlns="http://schemas.openxmlformats.org/spreadsheetml/2006/main" count="920" uniqueCount="566">
  <si>
    <t>클레임센터</t>
    <phoneticPr fontId="2" type="noConversion"/>
  </si>
  <si>
    <t>경영지원본부</t>
    <phoneticPr fontId="2" type="noConversion"/>
  </si>
  <si>
    <t>실장</t>
    <phoneticPr fontId="2" type="noConversion"/>
  </si>
  <si>
    <t>현동명</t>
    <phoneticPr fontId="13" type="noConversion"/>
  </si>
  <si>
    <t>임원</t>
    <phoneticPr fontId="12" type="noConversion"/>
  </si>
  <si>
    <t>대표이사</t>
    <phoneticPr fontId="12" type="noConversion"/>
  </si>
  <si>
    <t>010-4358-3639</t>
  </si>
  <si>
    <t>ceo</t>
  </si>
  <si>
    <t>02-420-3639
(집)</t>
  </si>
  <si>
    <t>Hyun Dong Myung</t>
  </si>
  <si>
    <t>이원희</t>
    <phoneticPr fontId="12" type="noConversion"/>
  </si>
  <si>
    <t>임원</t>
    <phoneticPr fontId="12" type="noConversion"/>
  </si>
  <si>
    <t>부사장</t>
    <phoneticPr fontId="12" type="noConversion"/>
  </si>
  <si>
    <t>1135</t>
    <phoneticPr fontId="12" type="noConversion"/>
  </si>
  <si>
    <t>010-8460-3639</t>
  </si>
  <si>
    <t>lwh</t>
  </si>
  <si>
    <t>Lee Won Hee</t>
  </si>
  <si>
    <t>이서진</t>
    <phoneticPr fontId="12" type="noConversion"/>
  </si>
  <si>
    <t>상무</t>
    <phoneticPr fontId="12" type="noConversion"/>
  </si>
  <si>
    <t>1314</t>
    <phoneticPr fontId="12" type="noConversion"/>
  </si>
  <si>
    <t>010-7425-4714</t>
    <phoneticPr fontId="2" type="noConversion"/>
  </si>
  <si>
    <t>sjlee</t>
  </si>
  <si>
    <t>여</t>
    <phoneticPr fontId="12" type="noConversion"/>
  </si>
  <si>
    <t>010-9117-3899
(배우자)</t>
  </si>
  <si>
    <t>Lee Seo Jin</t>
  </si>
  <si>
    <t>강동균</t>
    <phoneticPr fontId="12" type="noConversion"/>
  </si>
  <si>
    <t>경영지원본부</t>
    <phoneticPr fontId="12" type="noConversion"/>
  </si>
  <si>
    <t>실장</t>
    <phoneticPr fontId="12" type="noConversion"/>
  </si>
  <si>
    <t>1139</t>
    <phoneticPr fontId="12" type="noConversion"/>
  </si>
  <si>
    <t>kdk1225</t>
  </si>
  <si>
    <t>010-9281-3241
(배우자)</t>
  </si>
  <si>
    <t>Kang Dong Kyun</t>
  </si>
  <si>
    <t>김영은</t>
    <phoneticPr fontId="2" type="noConversion"/>
  </si>
  <si>
    <t>경영지원본부</t>
    <phoneticPr fontId="12" type="noConversion"/>
  </si>
  <si>
    <t>책임</t>
    <phoneticPr fontId="2" type="noConversion"/>
  </si>
  <si>
    <t>1463</t>
    <phoneticPr fontId="2" type="noConversion"/>
  </si>
  <si>
    <t>010-3361-4084</t>
  </si>
  <si>
    <t>yekim</t>
  </si>
  <si>
    <t>010-9938-4084(동생)</t>
    <phoneticPr fontId="2" type="noConversion"/>
  </si>
  <si>
    <t>Kim Young Eun</t>
  </si>
  <si>
    <t>김태영</t>
    <phoneticPr fontId="2" type="noConversion"/>
  </si>
  <si>
    <t>선임</t>
  </si>
  <si>
    <t>1315</t>
    <phoneticPr fontId="2" type="noConversion"/>
  </si>
  <si>
    <t>010-3106-4635</t>
  </si>
  <si>
    <t>tykim</t>
  </si>
  <si>
    <t>010-4921-7144
(동생)</t>
  </si>
  <si>
    <t>Kim Tae Young</t>
  </si>
  <si>
    <t>현예은</t>
    <phoneticPr fontId="2" type="noConversion"/>
  </si>
  <si>
    <t>경영지원본부</t>
    <phoneticPr fontId="12" type="noConversion"/>
  </si>
  <si>
    <t>선임</t>
    <phoneticPr fontId="2" type="noConversion"/>
  </si>
  <si>
    <t>1704</t>
    <phoneticPr fontId="2" type="noConversion"/>
  </si>
  <si>
    <t>010-9995-3639</t>
    <phoneticPr fontId="2" type="noConversion"/>
  </si>
  <si>
    <t>yehyun</t>
  </si>
  <si>
    <t>여</t>
    <phoneticPr fontId="12" type="noConversion"/>
  </si>
  <si>
    <t>010-4358-3639
(아버지/현동명)</t>
  </si>
  <si>
    <t>Hyun Yea Eun</t>
  </si>
  <si>
    <t>최영배</t>
  </si>
  <si>
    <t>기술본부</t>
    <phoneticPr fontId="2" type="noConversion"/>
  </si>
  <si>
    <t>본부장</t>
    <phoneticPr fontId="2" type="noConversion"/>
  </si>
  <si>
    <t>1705</t>
  </si>
  <si>
    <t>ybchoi</t>
  </si>
  <si>
    <t>010-7422-2449
(배우자)</t>
  </si>
  <si>
    <t>Choi Young Bae</t>
  </si>
  <si>
    <t>이경훈</t>
    <phoneticPr fontId="2" type="noConversion"/>
  </si>
  <si>
    <t>센터장</t>
    <phoneticPr fontId="2" type="noConversion"/>
  </si>
  <si>
    <t>0566</t>
    <phoneticPr fontId="2" type="noConversion"/>
  </si>
  <si>
    <t>010-5239-3076</t>
    <phoneticPr fontId="2" type="noConversion"/>
  </si>
  <si>
    <t>lkh</t>
    <phoneticPr fontId="2" type="noConversion"/>
  </si>
  <si>
    <t>010-9123-3076(배우자)</t>
    <phoneticPr fontId="2" type="noConversion"/>
  </si>
  <si>
    <t>유종욱</t>
    <phoneticPr fontId="2" type="noConversion"/>
  </si>
  <si>
    <t>1147</t>
  </si>
  <si>
    <t>010-8933-9223</t>
  </si>
  <si>
    <t>yjw</t>
    <phoneticPr fontId="2" type="noConversion"/>
  </si>
  <si>
    <t>남</t>
  </si>
  <si>
    <t>010-3441-2899
(배우자)</t>
  </si>
  <si>
    <t>조한빈</t>
    <phoneticPr fontId="2" type="noConversion"/>
  </si>
  <si>
    <t>마감</t>
    <phoneticPr fontId="12" type="noConversion"/>
  </si>
  <si>
    <t>실장</t>
    <phoneticPr fontId="2" type="noConversion"/>
  </si>
  <si>
    <t>1141</t>
    <phoneticPr fontId="2" type="noConversion"/>
  </si>
  <si>
    <t>010-7920-7906</t>
    <phoneticPr fontId="2" type="noConversion"/>
  </si>
  <si>
    <t>hbjo</t>
  </si>
  <si>
    <t>010-7108-7906
(누나)</t>
  </si>
  <si>
    <t>Jo Han Bin</t>
  </si>
  <si>
    <t>김재헌</t>
    <phoneticPr fontId="2" type="noConversion"/>
  </si>
  <si>
    <t>마감</t>
    <phoneticPr fontId="12" type="noConversion"/>
  </si>
  <si>
    <t>수석</t>
  </si>
  <si>
    <t>1155</t>
    <phoneticPr fontId="2" type="noConversion"/>
  </si>
  <si>
    <t>010-3254-5924</t>
    <phoneticPr fontId="2" type="noConversion"/>
  </si>
  <si>
    <t>jhkim</t>
  </si>
  <si>
    <t>010-3596-0572
(배우자/서수민)</t>
  </si>
  <si>
    <t>Kim Jae Heon</t>
  </si>
  <si>
    <t>성대용</t>
    <phoneticPr fontId="2" type="noConversion"/>
  </si>
  <si>
    <t>마감</t>
    <phoneticPr fontId="12" type="noConversion"/>
  </si>
  <si>
    <t>1154</t>
    <phoneticPr fontId="2" type="noConversion"/>
  </si>
  <si>
    <t>010-9680-1027</t>
  </si>
  <si>
    <t>dysung</t>
  </si>
  <si>
    <t>010-3775-0513
(배우자)</t>
  </si>
  <si>
    <t>Sung Dae Yong</t>
  </si>
  <si>
    <t>양한규</t>
    <phoneticPr fontId="2" type="noConversion"/>
  </si>
  <si>
    <t>1551</t>
    <phoneticPr fontId="2" type="noConversion"/>
  </si>
  <si>
    <t>010-8591-6744</t>
    <phoneticPr fontId="2" type="noConversion"/>
  </si>
  <si>
    <t>hkyang</t>
  </si>
  <si>
    <t>010-9686-5291
(배우자/최고나)</t>
  </si>
  <si>
    <t>Yang Han Kyu</t>
  </si>
  <si>
    <t>원종수</t>
  </si>
  <si>
    <t>1151</t>
    <phoneticPr fontId="2" type="noConversion"/>
  </si>
  <si>
    <t>010-7501-3576</t>
    <phoneticPr fontId="2" type="noConversion"/>
  </si>
  <si>
    <t>wjs</t>
  </si>
  <si>
    <t>010-3444-3576
(배우자/박효빈)</t>
  </si>
  <si>
    <t>Won Jong Soo</t>
  </si>
  <si>
    <t>송영길</t>
    <phoneticPr fontId="2" type="noConversion"/>
  </si>
  <si>
    <t>수석</t>
    <phoneticPr fontId="2" type="noConversion"/>
  </si>
  <si>
    <t>1145</t>
    <phoneticPr fontId="2" type="noConversion"/>
  </si>
  <si>
    <t>010-9874-9199</t>
    <phoneticPr fontId="2" type="noConversion"/>
  </si>
  <si>
    <t>ygsong</t>
  </si>
  <si>
    <t>010-8485-9199
(모)</t>
  </si>
  <si>
    <t>Song Young Gil</t>
  </si>
  <si>
    <t>이은지</t>
    <phoneticPr fontId="2" type="noConversion"/>
  </si>
  <si>
    <t>책임</t>
  </si>
  <si>
    <t>1153</t>
    <phoneticPr fontId="2" type="noConversion"/>
  </si>
  <si>
    <t>010-8326-0925</t>
    <phoneticPr fontId="2" type="noConversion"/>
  </si>
  <si>
    <t>ejlee</t>
  </si>
  <si>
    <t>010-8827-0213
(배우자)</t>
  </si>
  <si>
    <t>Lee Eun ji</t>
  </si>
  <si>
    <t>남은주</t>
    <phoneticPr fontId="2" type="noConversion"/>
  </si>
  <si>
    <t>책임</t>
    <phoneticPr fontId="2" type="noConversion"/>
  </si>
  <si>
    <t>1149</t>
    <phoneticPr fontId="2" type="noConversion"/>
  </si>
  <si>
    <t>010-2376-5761</t>
    <phoneticPr fontId="2" type="noConversion"/>
  </si>
  <si>
    <t>ejnam</t>
  </si>
  <si>
    <t xml:space="preserve"> 010-9929-5141
(배우자)</t>
  </si>
  <si>
    <t>Nam Eun Ju</t>
  </si>
  <si>
    <t>송치영</t>
    <phoneticPr fontId="2" type="noConversion"/>
  </si>
  <si>
    <t>마감</t>
    <phoneticPr fontId="12" type="noConversion"/>
  </si>
  <si>
    <t>책임</t>
    <phoneticPr fontId="2" type="noConversion"/>
  </si>
  <si>
    <t>1146</t>
    <phoneticPr fontId="2" type="noConversion"/>
  </si>
  <si>
    <t>010-4945-4261</t>
    <phoneticPr fontId="2" type="noConversion"/>
  </si>
  <si>
    <t>cysong</t>
  </si>
  <si>
    <t>010-3734-9473
(모)</t>
  </si>
  <si>
    <t>Song Chi Young</t>
  </si>
  <si>
    <t>임승주</t>
    <phoneticPr fontId="2" type="noConversion"/>
  </si>
  <si>
    <t>1156</t>
    <phoneticPr fontId="2" type="noConversion"/>
  </si>
  <si>
    <t>010-9167-9459</t>
    <phoneticPr fontId="2" type="noConversion"/>
  </si>
  <si>
    <t>sjim</t>
  </si>
  <si>
    <t>010-2226-9459
(모)</t>
  </si>
  <si>
    <t>Im Seung Ju</t>
  </si>
  <si>
    <t>임창열</t>
    <phoneticPr fontId="2" type="noConversion"/>
  </si>
  <si>
    <t>선임</t>
    <phoneticPr fontId="2" type="noConversion"/>
  </si>
  <si>
    <t>1148</t>
    <phoneticPr fontId="2" type="noConversion"/>
  </si>
  <si>
    <t>010-6292-2081</t>
    <phoneticPr fontId="2" type="noConversion"/>
  </si>
  <si>
    <t>cylim</t>
  </si>
  <si>
    <t>010-8685-2081
(누나)</t>
  </si>
  <si>
    <t>Im Chang Yeol</t>
  </si>
  <si>
    <t>김수겸</t>
    <phoneticPr fontId="2" type="noConversion"/>
  </si>
  <si>
    <t>프로</t>
    <phoneticPr fontId="2" type="noConversion"/>
  </si>
  <si>
    <t>1359</t>
    <phoneticPr fontId="2" type="noConversion"/>
  </si>
  <si>
    <t>010-9182-6876</t>
    <phoneticPr fontId="2" type="noConversion"/>
  </si>
  <si>
    <t xml:space="preserve"> skkim</t>
  </si>
  <si>
    <t>010-4938-4392
(여자친구)</t>
  </si>
  <si>
    <t>Kim Su Kyum</t>
  </si>
  <si>
    <t>장범선</t>
    <phoneticPr fontId="2" type="noConversion"/>
  </si>
  <si>
    <t>구조/토목·조경</t>
    <phoneticPr fontId="2" type="noConversion"/>
  </si>
  <si>
    <t>실장</t>
    <phoneticPr fontId="2" type="noConversion"/>
  </si>
  <si>
    <t>1137</t>
    <phoneticPr fontId="2" type="noConversion"/>
  </si>
  <si>
    <t>010-4758-4726</t>
    <phoneticPr fontId="2" type="noConversion"/>
  </si>
  <si>
    <t>bsjang</t>
  </si>
  <si>
    <t>010-6232-3991
(장정진)</t>
  </si>
  <si>
    <t>Jang Bum Sun</t>
  </si>
  <si>
    <t>신동헌</t>
    <phoneticPr fontId="2" type="noConversion"/>
  </si>
  <si>
    <t>구조</t>
    <phoneticPr fontId="2" type="noConversion"/>
  </si>
  <si>
    <t>팀장</t>
    <phoneticPr fontId="2" type="noConversion"/>
  </si>
  <si>
    <t>1316</t>
    <phoneticPr fontId="2" type="noConversion"/>
  </si>
  <si>
    <t>010-4353-3787</t>
    <phoneticPr fontId="2" type="noConversion"/>
  </si>
  <si>
    <t>dhshin</t>
  </si>
  <si>
    <t>010-3391-3787
(배우자)</t>
  </si>
  <si>
    <t>Shin Dong Heon</t>
  </si>
  <si>
    <t>김채원</t>
    <phoneticPr fontId="2" type="noConversion"/>
  </si>
  <si>
    <t>1150</t>
    <phoneticPr fontId="2" type="noConversion"/>
  </si>
  <si>
    <t>010-2447-2571</t>
    <phoneticPr fontId="2" type="noConversion"/>
  </si>
  <si>
    <t>cwkim</t>
  </si>
  <si>
    <t>010-4930-0328
(여동생)</t>
  </si>
  <si>
    <t>Kim Chae Won</t>
  </si>
  <si>
    <t>이정철</t>
    <phoneticPr fontId="2" type="noConversion"/>
  </si>
  <si>
    <t>1136</t>
    <phoneticPr fontId="2" type="noConversion"/>
  </si>
  <si>
    <t>010-7127-5069</t>
    <phoneticPr fontId="2" type="noConversion"/>
  </si>
  <si>
    <t xml:space="preserve"> jclee</t>
  </si>
  <si>
    <t>010-9788-4606
(배우자/임은지)</t>
  </si>
  <si>
    <t>Lee Jung Chul</t>
  </si>
  <si>
    <t>박소현</t>
    <phoneticPr fontId="2" type="noConversion"/>
  </si>
  <si>
    <t>1144</t>
    <phoneticPr fontId="2" type="noConversion"/>
  </si>
  <si>
    <t>010-6428-5490</t>
    <phoneticPr fontId="2" type="noConversion"/>
  </si>
  <si>
    <t>shpark</t>
  </si>
  <si>
    <t>010-5093-5498(부)</t>
    <phoneticPr fontId="2" type="noConversion"/>
  </si>
  <si>
    <t>Park So Hyun</t>
    <phoneticPr fontId="2" type="noConversion"/>
  </si>
  <si>
    <t>서화원</t>
    <phoneticPr fontId="2" type="noConversion"/>
  </si>
  <si>
    <t>1370</t>
    <phoneticPr fontId="2" type="noConversion"/>
  </si>
  <si>
    <t>010-2298-4037</t>
    <phoneticPr fontId="2" type="noConversion"/>
  </si>
  <si>
    <t>hwseo</t>
  </si>
  <si>
    <t>010-2353-4037(모)</t>
    <phoneticPr fontId="2" type="noConversion"/>
  </si>
  <si>
    <t>Seo Hwa Won</t>
    <phoneticPr fontId="2" type="noConversion"/>
  </si>
  <si>
    <t>양진혁</t>
    <phoneticPr fontId="2" type="noConversion"/>
  </si>
  <si>
    <t>1133</t>
    <phoneticPr fontId="2" type="noConversion"/>
  </si>
  <si>
    <t>010-4107-1388</t>
    <phoneticPr fontId="2" type="noConversion"/>
  </si>
  <si>
    <t>jhyang</t>
  </si>
  <si>
    <t>010-5430-1388(부)</t>
    <phoneticPr fontId="2" type="noConversion"/>
  </si>
  <si>
    <t>Yang Jin Hyeok</t>
    <phoneticPr fontId="2" type="noConversion"/>
  </si>
  <si>
    <t>이성희</t>
    <phoneticPr fontId="2" type="noConversion"/>
  </si>
  <si>
    <t>파트장</t>
    <phoneticPr fontId="2" type="noConversion"/>
  </si>
  <si>
    <t>1138</t>
    <phoneticPr fontId="2" type="noConversion"/>
  </si>
  <si>
    <t>010-2467-2114</t>
    <phoneticPr fontId="2" type="noConversion"/>
  </si>
  <si>
    <t>lsh</t>
  </si>
  <si>
    <t>010-3709-5287
(어머니/김순초)</t>
  </si>
  <si>
    <t>Lee Sung Hee</t>
  </si>
  <si>
    <t>박용진</t>
    <phoneticPr fontId="2" type="noConversion"/>
  </si>
  <si>
    <t>1706</t>
    <phoneticPr fontId="2" type="noConversion"/>
  </si>
  <si>
    <t>010-7700-7859</t>
    <phoneticPr fontId="2" type="noConversion"/>
  </si>
  <si>
    <t>yjpark</t>
  </si>
  <si>
    <t xml:space="preserve"> 010-2024-1621
(배우자/한유미)</t>
  </si>
  <si>
    <t>Park Yong Jin</t>
  </si>
  <si>
    <t>오승균</t>
    <phoneticPr fontId="12" type="noConversion"/>
  </si>
  <si>
    <t>토목·조경파트</t>
    <phoneticPr fontId="2" type="noConversion"/>
  </si>
  <si>
    <t>파트장</t>
    <phoneticPr fontId="12" type="noConversion"/>
  </si>
  <si>
    <t>0116</t>
    <phoneticPr fontId="12" type="noConversion"/>
  </si>
  <si>
    <t>010-6787-3538</t>
    <phoneticPr fontId="12" type="noConversion"/>
  </si>
  <si>
    <t>osg</t>
  </si>
  <si>
    <t>010-2889-3538
(모)</t>
  </si>
  <si>
    <t>Oh Seung Gyun</t>
  </si>
  <si>
    <t>장명진</t>
    <phoneticPr fontId="12" type="noConversion"/>
  </si>
  <si>
    <t>선임</t>
    <phoneticPr fontId="12" type="noConversion"/>
  </si>
  <si>
    <t>0115</t>
    <phoneticPr fontId="2" type="noConversion"/>
  </si>
  <si>
    <t>010-7676-9052</t>
    <phoneticPr fontId="2" type="noConversion"/>
  </si>
  <si>
    <t>mjjang</t>
    <phoneticPr fontId="2" type="noConversion"/>
  </si>
  <si>
    <t>여</t>
  </si>
  <si>
    <t>Lee Kyung Hoon</t>
    <phoneticPr fontId="2" type="noConversion"/>
  </si>
  <si>
    <t>Yoo Jong Wook</t>
  </si>
  <si>
    <t>개발 T/F</t>
    <phoneticPr fontId="2" type="noConversion"/>
  </si>
  <si>
    <t>Jang Myung Jin</t>
    <phoneticPr fontId="2" type="noConversion"/>
  </si>
  <si>
    <t>010-9906-3397(모)</t>
    <phoneticPr fontId="2" type="noConversion"/>
  </si>
  <si>
    <t>컨코스트</t>
    <phoneticPr fontId="2" type="noConversion"/>
  </si>
  <si>
    <t>입사일</t>
    <phoneticPr fontId="12" type="noConversion"/>
  </si>
  <si>
    <t>직급</t>
    <phoneticPr fontId="12" type="noConversion"/>
  </si>
  <si>
    <t>E-Mail</t>
    <phoneticPr fontId="12" type="noConversion"/>
  </si>
  <si>
    <t>LÂM THỊ LAN PHƯƠNG</t>
  </si>
  <si>
    <t>Lan Phuong</t>
  </si>
  <si>
    <t>부장</t>
  </si>
  <si>
    <t>0908961748</t>
  </si>
  <si>
    <t>lanphuong</t>
  </si>
  <si>
    <t>PHAN LÊ THIÊN NGÂN</t>
  </si>
  <si>
    <t>Thien Ngan</t>
  </si>
  <si>
    <t>Structure</t>
  </si>
  <si>
    <t>팀장</t>
  </si>
  <si>
    <t>0989400873</t>
  </si>
  <si>
    <t>thienngan</t>
  </si>
  <si>
    <t>VÕ VĂN DỬNG</t>
  </si>
  <si>
    <t>Van Dung</t>
  </si>
  <si>
    <t>Finish</t>
  </si>
  <si>
    <t>Internal1</t>
  </si>
  <si>
    <t>0378380203</t>
  </si>
  <si>
    <t>vandung</t>
  </si>
  <si>
    <t>VŨ VĂN TÙNG</t>
  </si>
  <si>
    <t>Van Tung</t>
  </si>
  <si>
    <t>0387926774</t>
  </si>
  <si>
    <t>vantung</t>
  </si>
  <si>
    <t>LÂM ANH TUẤN</t>
  </si>
  <si>
    <t>Anh Tuan</t>
  </si>
  <si>
    <t>0947123411</t>
  </si>
  <si>
    <t>anhtuan</t>
  </si>
  <si>
    <t>남</t>
    <phoneticPr fontId="2" type="noConversion"/>
  </si>
  <si>
    <t>HOÀNG THỊ HUYỀN THU</t>
  </si>
  <si>
    <t>Huyen Thu</t>
  </si>
  <si>
    <t>Internal2</t>
  </si>
  <si>
    <t>0865214327</t>
  </si>
  <si>
    <t>huyenthu</t>
  </si>
  <si>
    <t>TRẦN NHỰT CƯƠNG</t>
  </si>
  <si>
    <t>Nhut Cuong</t>
  </si>
  <si>
    <t>부팀장</t>
  </si>
  <si>
    <t>0767143018</t>
  </si>
  <si>
    <t>nhutcuong</t>
  </si>
  <si>
    <t>HỒ DANH XUÂN</t>
  </si>
  <si>
    <t>Danh Xuan</t>
  </si>
  <si>
    <t>0379050858</t>
  </si>
  <si>
    <t>danhxuan</t>
  </si>
  <si>
    <t>NGUYỄN MINH TÚ</t>
  </si>
  <si>
    <t>Minh Tu</t>
  </si>
  <si>
    <t>0388432592</t>
  </si>
  <si>
    <t>minhtu</t>
  </si>
  <si>
    <t>LÝ THANH PHONG</t>
  </si>
  <si>
    <t>Thanh Phong</t>
  </si>
  <si>
    <t>0346249946</t>
  </si>
  <si>
    <t>thanhphong</t>
  </si>
  <si>
    <t>TRẦN THỊ THANH TUYỀN</t>
  </si>
  <si>
    <t>Thanh Tuyen</t>
  </si>
  <si>
    <t>Management Support</t>
    <phoneticPr fontId="2" type="noConversion"/>
  </si>
  <si>
    <t>Admin</t>
  </si>
  <si>
    <t>사원</t>
  </si>
  <si>
    <t>0909876494</t>
  </si>
  <si>
    <t>thanhtuyen</t>
  </si>
  <si>
    <t>ĐẶNG SỸ ĐÀN</t>
  </si>
  <si>
    <t>Sy Dan</t>
  </si>
  <si>
    <t>0869102864</t>
  </si>
  <si>
    <t>sydan</t>
  </si>
  <si>
    <t>LÊ VĂN TOÀN</t>
  </si>
  <si>
    <t>Van Toan</t>
  </si>
  <si>
    <t>0978590238</t>
  </si>
  <si>
    <t>vantoan</t>
  </si>
  <si>
    <t>NGUYỄN THỊ KIM THOA</t>
  </si>
  <si>
    <t>Kim Thoa</t>
  </si>
  <si>
    <t>kimthoa</t>
  </si>
  <si>
    <t>NGUYỄN MINH LUÂN</t>
  </si>
  <si>
    <t>Minh Luan</t>
  </si>
  <si>
    <t>0985904702</t>
  </si>
  <si>
    <t>minhluan</t>
  </si>
  <si>
    <t>ĐỖ HỮU THÁI</t>
  </si>
  <si>
    <t>Huu Thai</t>
  </si>
  <si>
    <t>0964483430</t>
  </si>
  <si>
    <t>huuthai</t>
  </si>
  <si>
    <t>NGUYỄN NGÔ HỮU CHÂU</t>
  </si>
  <si>
    <t>Huu Chau</t>
  </si>
  <si>
    <t>0832669445</t>
  </si>
  <si>
    <t>huuchau</t>
  </si>
  <si>
    <t>NGUYỄN THỊ THẢO</t>
  </si>
  <si>
    <t>Thi Thao</t>
  </si>
  <si>
    <t>0838951657</t>
  </si>
  <si>
    <t>thithao</t>
  </si>
  <si>
    <t>VÕ THỊ THÙY TRÂM</t>
  </si>
  <si>
    <t>Thuy Tram</t>
  </si>
  <si>
    <t>0359407595</t>
  </si>
  <si>
    <t>thuytram</t>
  </si>
  <si>
    <t>TRẦN ĐÌNH PHI</t>
  </si>
  <si>
    <t>Dinh Phi</t>
  </si>
  <si>
    <t>Internal3</t>
  </si>
  <si>
    <t>0977695011</t>
  </si>
  <si>
    <t>dinhphi</t>
  </si>
  <si>
    <t>PHAN NGUYỄN THANH XUÂN</t>
  </si>
  <si>
    <t>Thanh Xuan</t>
  </si>
  <si>
    <t>0986933923</t>
  </si>
  <si>
    <t>thanhxuan</t>
  </si>
  <si>
    <t>THÁI NHẬT DUY</t>
  </si>
  <si>
    <t>Nhat Duy</t>
  </si>
  <si>
    <t>External</t>
  </si>
  <si>
    <t>0395757100</t>
  </si>
  <si>
    <t>nhatduy</t>
  </si>
  <si>
    <t>VÕ MINH TRIẾT</t>
  </si>
  <si>
    <t>0939633902</t>
  </si>
  <si>
    <t>minhtriet</t>
  </si>
  <si>
    <t>NGUYỄN NGỌC PHƯƠNG LOAN</t>
  </si>
  <si>
    <t>0394132174</t>
  </si>
  <si>
    <t>phuongloan</t>
  </si>
  <si>
    <t>NGUYỄN ĐÌNH NAM</t>
  </si>
  <si>
    <t>0974170357</t>
  </si>
  <si>
    <t>dinhnam</t>
  </si>
  <si>
    <t>PHAN THỊ KIỀU DUYÊN</t>
  </si>
  <si>
    <t>Kieu Duyen</t>
  </si>
  <si>
    <t>0898759973</t>
    <phoneticPr fontId="22" type="noConversion"/>
  </si>
  <si>
    <t>kieuduyen</t>
  </si>
  <si>
    <t>NGUYỄN THỊ NGỌC MAI</t>
  </si>
  <si>
    <t>Ngoc Mai</t>
  </si>
  <si>
    <t>0776943615</t>
  </si>
  <si>
    <t>ngocmai</t>
  </si>
  <si>
    <t>CAO THỊ NGỌC THOA</t>
  </si>
  <si>
    <t>Ngoc Thoa</t>
  </si>
  <si>
    <t>0365083623</t>
    <phoneticPr fontId="22" type="noConversion"/>
  </si>
  <si>
    <t>ngocthoa</t>
  </si>
  <si>
    <t>NGUYỄN THỊ QUỲNH GIAO</t>
  </si>
  <si>
    <t>Quynh Giao</t>
  </si>
  <si>
    <t>0827968694</t>
    <phoneticPr fontId="22" type="noConversion"/>
  </si>
  <si>
    <t>quynhgiao</t>
  </si>
  <si>
    <t>NGUYỄN QUỐC HUY</t>
  </si>
  <si>
    <t>Quoc Huy</t>
  </si>
  <si>
    <t>0982482219</t>
    <phoneticPr fontId="22" type="noConversion"/>
  </si>
  <si>
    <t>quochuy</t>
  </si>
  <si>
    <t>HỒ QUỐC BẢO</t>
  </si>
  <si>
    <t>Quoc Bao</t>
  </si>
  <si>
    <t>quocbao</t>
  </si>
  <si>
    <t>NGUYỄN TRỌNG NGUYỄN</t>
  </si>
  <si>
    <t>Trong Nguyen</t>
  </si>
  <si>
    <t>0363402394</t>
    <phoneticPr fontId="22" type="noConversion"/>
  </si>
  <si>
    <t>trongnguyen</t>
  </si>
  <si>
    <t>NGUYỄN THỊ ANH</t>
  </si>
  <si>
    <t>Thi Anh</t>
  </si>
  <si>
    <t>thianh</t>
  </si>
  <si>
    <t>NGUYỄN TẤN PHÁT</t>
  </si>
  <si>
    <t>Tan Phat</t>
  </si>
  <si>
    <t>tanphat</t>
  </si>
  <si>
    <t>TÔN NGỌC ÁNH</t>
  </si>
  <si>
    <t>Ngoc Anh</t>
  </si>
  <si>
    <t>ngocanh</t>
  </si>
  <si>
    <t>HUỲNH THỊ NGỌC BÍCH</t>
  </si>
  <si>
    <t>Ngoc Bich</t>
  </si>
  <si>
    <t>ngocbich</t>
  </si>
  <si>
    <t>ĐINH TRẦN KHẢ ÁI</t>
  </si>
  <si>
    <t>Kha Ai</t>
  </si>
  <si>
    <t xml:space="preserve">0986449537 </t>
  </si>
  <si>
    <t>khaai</t>
  </si>
  <si>
    <t>TRẦN THỊ CẨM TÚ</t>
  </si>
  <si>
    <t>Cam Tu</t>
  </si>
  <si>
    <t>0339399413</t>
  </si>
  <si>
    <t>camtu</t>
  </si>
  <si>
    <t>CHÂU QUANG TRÍ</t>
  </si>
  <si>
    <t>Quang Tri</t>
  </si>
  <si>
    <t>0522725567</t>
  </si>
  <si>
    <t>quangtri</t>
  </si>
  <si>
    <t>HUỲNH QUỐC HƯNG</t>
  </si>
  <si>
    <t>Quoc Hung</t>
  </si>
  <si>
    <t>0917029130</t>
  </si>
  <si>
    <t>quochung</t>
  </si>
  <si>
    <t>VÕ ĐÔNG PHƯƠNG</t>
  </si>
  <si>
    <t>Dong Phuong</t>
  </si>
  <si>
    <t>0363421015</t>
  </si>
  <si>
    <t>dongphuong</t>
  </si>
  <si>
    <t>TRƯƠNG NGUYỄN YẾN PHƯƠNG</t>
  </si>
  <si>
    <t>Yen Phuong</t>
  </si>
  <si>
    <t>0917216403</t>
  </si>
  <si>
    <t>yenphuong</t>
  </si>
  <si>
    <t xml:space="preserve">ĐOÀN MINH NHỰT    </t>
  </si>
  <si>
    <t>0703926005</t>
  </si>
  <si>
    <t>minhnhut</t>
  </si>
  <si>
    <t xml:space="preserve">NGUYỄN VĂN ĐÀ    </t>
  </si>
  <si>
    <t>0383905784</t>
  </si>
  <si>
    <t>vanda</t>
  </si>
  <si>
    <t>NGUYỄN THÀNH PHƯƠNG</t>
  </si>
  <si>
    <t>Thanh Phuong</t>
  </si>
  <si>
    <t>0363978300</t>
  </si>
  <si>
    <t>thanhphuong</t>
  </si>
  <si>
    <t>NGUYỄN HỒNG NGÂN</t>
  </si>
  <si>
    <t>Hong Ngan</t>
  </si>
  <si>
    <t>0394031637</t>
  </si>
  <si>
    <t>hongngan</t>
  </si>
  <si>
    <t>LÂM KIM TUYỀN</t>
  </si>
  <si>
    <t>Kim Tuyen</t>
  </si>
  <si>
    <t>0794248010</t>
  </si>
  <si>
    <t>kimtuyen</t>
  </si>
  <si>
    <t>PHAN KHÁNH DUY</t>
  </si>
  <si>
    <t>Khanh Duy</t>
  </si>
  <si>
    <t>0398992906</t>
  </si>
  <si>
    <t>khanhduy</t>
  </si>
  <si>
    <t>TRƯƠNG MINH HẢI</t>
  </si>
  <si>
    <t>Minh Hai</t>
  </si>
  <si>
    <t>0707597366</t>
  </si>
  <si>
    <t>minhhai</t>
  </si>
  <si>
    <t>NGUYỄN PHƯỚC NGUYÊN</t>
  </si>
  <si>
    <t>Phuoc Nguyen</t>
  </si>
  <si>
    <t>0349341639</t>
  </si>
  <si>
    <t>phuocnguyen</t>
  </si>
  <si>
    <t>TRẦN TRUNG ĐAN</t>
  </si>
  <si>
    <t>Trung Dan</t>
  </si>
  <si>
    <t>0888061632</t>
  </si>
  <si>
    <t>trungdan</t>
  </si>
  <si>
    <t>NGUYỄN THỊ THU THỦY</t>
  </si>
  <si>
    <t>Thu Thuy</t>
  </si>
  <si>
    <t>0358130512</t>
  </si>
  <si>
    <t>thuthuy</t>
  </si>
  <si>
    <t>PHẠM QUANG TRƯỜNG</t>
  </si>
  <si>
    <t>Quang Truong</t>
  </si>
  <si>
    <t>0772734389</t>
  </si>
  <si>
    <t>quangtruong</t>
  </si>
  <si>
    <t>NGUYỄN THỊ MINH CHÂU</t>
  </si>
  <si>
    <t>Minh Chau</t>
  </si>
  <si>
    <t>0388568737</t>
  </si>
  <si>
    <t>minhchau</t>
  </si>
  <si>
    <t>TRẦN MINH KIỆT</t>
  </si>
  <si>
    <t>Minh Kiet</t>
  </si>
  <si>
    <t>0798983936</t>
  </si>
  <si>
    <t>minhkiet</t>
  </si>
  <si>
    <t>HỒ MINH TUYÊN</t>
  </si>
  <si>
    <t>Minh Tuyen</t>
  </si>
  <si>
    <t>0905214728</t>
  </si>
  <si>
    <t>minhtuyen</t>
  </si>
  <si>
    <t>PHẠM ĐÌNH VĂN</t>
  </si>
  <si>
    <t>Dinh Van</t>
  </si>
  <si>
    <t>0978705181</t>
  </si>
  <si>
    <t>dinhvan</t>
  </si>
  <si>
    <t>NGÔ MẠNH CƯỜNG</t>
  </si>
  <si>
    <t>Manh Cuong</t>
  </si>
  <si>
    <t>0833012475</t>
  </si>
  <si>
    <t>manhcuong</t>
  </si>
  <si>
    <t>NGUYỄN THỊ CHI</t>
  </si>
  <si>
    <t>Thi Chi</t>
  </si>
  <si>
    <t>0385475613</t>
  </si>
  <si>
    <t>thichi</t>
  </si>
  <si>
    <t>Management Support</t>
    <phoneticPr fontId="2" type="noConversion"/>
  </si>
  <si>
    <t>남</t>
    <phoneticPr fontId="2" type="noConversion"/>
  </si>
  <si>
    <t>남</t>
    <phoneticPr fontId="2" type="noConversion"/>
  </si>
  <si>
    <t>Management Support</t>
    <phoneticPr fontId="2" type="noConversion"/>
  </si>
  <si>
    <t>0367226219</t>
    <phoneticPr fontId="22" type="noConversion"/>
  </si>
  <si>
    <t>0702432581</t>
    <phoneticPr fontId="22" type="noConversion"/>
  </si>
  <si>
    <t>0379812738</t>
    <phoneticPr fontId="22" type="noConversion"/>
  </si>
  <si>
    <t>0339487658</t>
    <phoneticPr fontId="22" type="noConversion"/>
  </si>
  <si>
    <t>0394970891</t>
    <phoneticPr fontId="22" type="noConversion"/>
  </si>
  <si>
    <t>0333502714</t>
    <phoneticPr fontId="22" type="noConversion"/>
  </si>
  <si>
    <t>VIETQS</t>
    <phoneticPr fontId="2" type="noConversion"/>
  </si>
  <si>
    <t>NO.</t>
    <phoneticPr fontId="12" type="noConversion"/>
  </si>
  <si>
    <t>소속</t>
    <phoneticPr fontId="12" type="noConversion"/>
  </si>
  <si>
    <t>이름</t>
    <phoneticPr fontId="12" type="noConversion"/>
  </si>
  <si>
    <t>영문이름</t>
    <phoneticPr fontId="12" type="noConversion"/>
  </si>
  <si>
    <t>부서명</t>
    <phoneticPr fontId="12" type="noConversion"/>
  </si>
  <si>
    <t>담당업무</t>
    <phoneticPr fontId="12" type="noConversion"/>
  </si>
  <si>
    <t>내선번호</t>
    <phoneticPr fontId="12" type="noConversion"/>
  </si>
  <si>
    <t>연락처</t>
    <phoneticPr fontId="12" type="noConversion"/>
  </si>
  <si>
    <t>생년월일</t>
    <phoneticPr fontId="12" type="noConversion"/>
  </si>
  <si>
    <t>성별</t>
    <phoneticPr fontId="12" type="noConversion"/>
  </si>
  <si>
    <t>비상연락처</t>
    <phoneticPr fontId="12" type="noConversion"/>
  </si>
  <si>
    <t>1967-01-05</t>
  </si>
  <si>
    <t>1978-02-27</t>
  </si>
  <si>
    <t>1973-01-17</t>
  </si>
  <si>
    <t>1980-12-25</t>
  </si>
  <si>
    <t>1997-01-10</t>
  </si>
  <si>
    <t>1994-02-21</t>
  </si>
  <si>
    <t>1995-09-06</t>
  </si>
  <si>
    <t>1982-06-10</t>
  </si>
  <si>
    <t>1970-05-09</t>
  </si>
  <si>
    <t>1985-10-21</t>
  </si>
  <si>
    <t>1992-02-23</t>
  </si>
  <si>
    <t>1983-02-09</t>
  </si>
  <si>
    <t>1987-07-19</t>
  </si>
  <si>
    <t>1988-10-27</t>
  </si>
  <si>
    <t>1987-08-14</t>
  </si>
  <si>
    <t>1989-10-30</t>
  </si>
  <si>
    <t>1990-11-26</t>
  </si>
  <si>
    <t>1991-09-25</t>
  </si>
  <si>
    <t>1993-03-16</t>
  </si>
  <si>
    <t>1991-11-20</t>
  </si>
  <si>
    <t>1993-12-06</t>
  </si>
  <si>
    <t>1998-07-17</t>
  </si>
  <si>
    <t>1999-07-18</t>
  </si>
  <si>
    <t>1986-05-25</t>
  </si>
  <si>
    <t>1982-09-22</t>
  </si>
  <si>
    <t>1983-08-21</t>
  </si>
  <si>
    <t>1988-04-26</t>
  </si>
  <si>
    <t>1995-03-21</t>
  </si>
  <si>
    <t>1996-10-17</t>
  </si>
  <si>
    <t>1999-09-02</t>
  </si>
  <si>
    <t>1991-01-14</t>
  </si>
  <si>
    <t>1987-09-29</t>
  </si>
  <si>
    <t>1995-07-27</t>
  </si>
  <si>
    <t>1142</t>
    <phoneticPr fontId="2" type="noConversion"/>
  </si>
  <si>
    <t>※대표번호</t>
    <phoneticPr fontId="2" type="noConversion"/>
  </si>
  <si>
    <t xml:space="preserve">Minh Triet </t>
  </si>
  <si>
    <t>Phuong Loan</t>
  </si>
  <si>
    <t>Dinh Nam</t>
  </si>
  <si>
    <t>Minh Nhut</t>
  </si>
  <si>
    <t>Van Da</t>
  </si>
  <si>
    <t>2026년도 컨코스트, VIETQS 인력현황</t>
    <phoneticPr fontId="5" type="noConversion"/>
  </si>
  <si>
    <t>Admin</t>
    <phoneticPr fontId="2" type="noConversion"/>
  </si>
  <si>
    <t>Civil</t>
  </si>
  <si>
    <t>Development</t>
  </si>
  <si>
    <t>Horizon1</t>
  </si>
  <si>
    <t>P&amp;O1</t>
  </si>
  <si>
    <t>Vertical1</t>
  </si>
  <si>
    <t>Horizon2</t>
  </si>
  <si>
    <t>Vertical2</t>
  </si>
  <si>
    <t>Horizon3</t>
  </si>
  <si>
    <t>Vertical3</t>
  </si>
  <si>
    <t>P&amp;O2</t>
  </si>
  <si>
    <t>010-6662-8012</t>
    <phoneticPr fontId="2" type="noConversion"/>
  </si>
  <si>
    <t>010-7242-2447</t>
    <phoneticPr fontId="2" type="noConversion"/>
  </si>
  <si>
    <t>컨코스트</t>
    <phoneticPr fontId="2" type="noConversion"/>
  </si>
  <si>
    <t>VIETQS</t>
    <phoneticPr fontId="2" type="noConversion"/>
  </si>
  <si>
    <t>합계</t>
    <phoneticPr fontId="2" type="noConversion"/>
  </si>
  <si>
    <t>총원</t>
    <phoneticPr fontId="12" type="noConversion"/>
  </si>
  <si>
    <t>소속</t>
    <phoneticPr fontId="12" type="noConversion"/>
  </si>
  <si>
    <t>@con-cost.com</t>
    <phoneticPr fontId="13" type="noConversion"/>
  </si>
  <si>
    <t>ID</t>
    <phoneticPr fontId="13" type="noConversion"/>
  </si>
  <si>
    <t>비밀번호</t>
    <phoneticPr fontId="13" type="noConversion"/>
  </si>
  <si>
    <t>VIETQS</t>
    <phoneticPr fontId="13" type="noConversion"/>
  </si>
  <si>
    <t>베트남 통합 ID</t>
    <phoneticPr fontId="13" type="noConversion"/>
  </si>
  <si>
    <t>구조(BIM)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</si>
</sst>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76" formatCode="000000\-0000000"/>
    <numFmt numFmtId="177" formatCode="#,##0;[Red]#,##0"/>
    <numFmt numFmtId="178" formatCode="yyyy&quot;-&quot;mm"/>
    <numFmt numFmtId="179" formatCode="0000000000"/>
  </numFmts>
  <fonts count="29">
    <font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20"/>
      <color indexed="8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color indexed="8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8"/>
      <name val="돋움"/>
      <family val="3"/>
      <charset val="129"/>
    </font>
    <font>
      <sz val="10"/>
      <name val="맑은 고딕"/>
      <family val="3"/>
      <charset val="129"/>
      <scheme val="major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  <scheme val="major"/>
    </font>
    <font>
      <sz val="10"/>
      <name val="맑은 고딕"/>
      <family val="2"/>
      <scheme val="minor"/>
    </font>
    <font>
      <sz val="10"/>
      <color indexed="8"/>
      <name val="맑은 고딕"/>
      <family val="2"/>
      <scheme val="minor"/>
    </font>
    <font>
      <sz val="10"/>
      <color rgb="FF000000"/>
      <name val="맑은 고딕"/>
      <family val="2"/>
      <scheme val="minor"/>
    </font>
    <font>
      <sz val="10"/>
      <color theme="1"/>
      <name val="맑은 고딕"/>
      <family val="2"/>
      <scheme val="minor"/>
    </font>
    <font>
      <b/>
      <sz val="10"/>
      <color rgb="FFFF0000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10"/>
      <color rgb="FF081C36"/>
      <name val="맑은 고딕"/>
      <family val="2"/>
      <scheme val="minor"/>
    </font>
    <font>
      <b/>
      <sz val="9"/>
      <color rgb="FFFF0000"/>
      <name val="맑은 고딕"/>
      <family val="3"/>
      <charset val="129"/>
      <scheme val="minor"/>
    </font>
    <font>
      <sz val="9"/>
      <color rgb="FF001737"/>
      <name val="NanumGothic"/>
    </font>
    <font>
      <b/>
      <sz val="11"/>
      <color indexed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</borders>
  <cellStyleXfs count="4">
    <xf numFmtId="0" fontId="0" fillId="0" borderId="0">
      <alignment vertical="center"/>
    </xf>
    <xf numFmtId="0" fontId="1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81">
    <xf numFmtId="0" fontId="0" fillId="0" borderId="0" xfId="0">
      <alignment vertical="center"/>
    </xf>
    <xf numFmtId="177" fontId="11" fillId="2" borderId="1" xfId="0" applyNumberFormat="1" applyFont="1" applyFill="1" applyBorder="1" applyAlignment="1">
      <alignment horizontal="center" vertical="center" shrinkToFit="1"/>
    </xf>
    <xf numFmtId="177" fontId="10" fillId="0" borderId="1" xfId="0" applyNumberFormat="1" applyFont="1" applyFill="1" applyBorder="1" applyAlignment="1">
      <alignment horizontal="center" vertical="center" shrinkToFit="1"/>
    </xf>
    <xf numFmtId="49" fontId="10" fillId="0" borderId="1" xfId="0" applyNumberFormat="1" applyFont="1" applyFill="1" applyBorder="1" applyAlignment="1">
      <alignment horizontal="center" vertical="center" shrinkToFit="1"/>
    </xf>
    <xf numFmtId="177" fontId="14" fillId="0" borderId="1" xfId="0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shrinkToFit="1"/>
    </xf>
    <xf numFmtId="14" fontId="10" fillId="0" borderId="1" xfId="0" applyNumberFormat="1" applyFont="1" applyFill="1" applyBorder="1" applyAlignment="1">
      <alignment horizontal="center" vertical="center" shrinkToFit="1"/>
    </xf>
    <xf numFmtId="0" fontId="14" fillId="0" borderId="1" xfId="1" applyFont="1" applyFill="1" applyBorder="1" applyAlignment="1">
      <alignment horizontal="center" vertical="center" shrinkToFit="1"/>
    </xf>
    <xf numFmtId="0" fontId="6" fillId="0" borderId="0" xfId="0" applyFont="1" applyFill="1" applyBorder="1" applyAlignment="1">
      <alignment horizontal="left" vertical="center"/>
    </xf>
    <xf numFmtId="49" fontId="7" fillId="0" borderId="1" xfId="0" applyNumberFormat="1" applyFont="1" applyFill="1" applyBorder="1" applyAlignment="1">
      <alignment horizontal="center" vertical="center" shrinkToFit="1"/>
    </xf>
    <xf numFmtId="0" fontId="16" fillId="0" borderId="1" xfId="0" applyFont="1" applyFill="1" applyBorder="1" applyAlignment="1">
      <alignment horizontal="center" vertical="center" shrinkToFit="1"/>
    </xf>
    <xf numFmtId="0" fontId="10" fillId="0" borderId="1" xfId="0" applyFont="1" applyFill="1" applyBorder="1" applyAlignment="1">
      <alignment horizontal="center" vertical="center" wrapText="1" shrinkToFit="1"/>
    </xf>
    <xf numFmtId="14" fontId="8" fillId="0" borderId="1" xfId="0" applyNumberFormat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left" vertical="center"/>
    </xf>
    <xf numFmtId="49" fontId="9" fillId="0" borderId="1" xfId="0" applyNumberFormat="1" applyFont="1" applyFill="1" applyBorder="1" applyAlignment="1">
      <alignment horizontal="center" vertical="center" shrinkToFit="1"/>
    </xf>
    <xf numFmtId="14" fontId="7" fillId="0" borderId="1" xfId="0" applyNumberFormat="1" applyFont="1" applyFill="1" applyBorder="1" applyAlignment="1">
      <alignment horizontal="center" vertical="center" shrinkToFit="1"/>
    </xf>
    <xf numFmtId="49" fontId="7" fillId="0" borderId="1" xfId="0" quotePrefix="1" applyNumberFormat="1" applyFont="1" applyFill="1" applyBorder="1" applyAlignment="1">
      <alignment horizontal="center" vertical="center" shrinkToFit="1"/>
    </xf>
    <xf numFmtId="0" fontId="7" fillId="0" borderId="1" xfId="0" applyFont="1" applyFill="1" applyBorder="1" applyAlignment="1">
      <alignment horizontal="center" vertical="center" wrapText="1" shrinkToFit="1"/>
    </xf>
    <xf numFmtId="14" fontId="7" fillId="0" borderId="1" xfId="0" applyNumberFormat="1" applyFont="1" applyFill="1" applyBorder="1" applyAlignment="1">
      <alignment horizontal="center" vertical="center" wrapText="1" shrinkToFit="1"/>
    </xf>
    <xf numFmtId="14" fontId="14" fillId="0" borderId="1" xfId="1" applyNumberFormat="1" applyFont="1" applyFill="1" applyBorder="1" applyAlignment="1">
      <alignment horizontal="center" vertical="center" shrinkToFit="1"/>
    </xf>
    <xf numFmtId="14" fontId="7" fillId="0" borderId="1" xfId="0" quotePrefix="1" applyNumberFormat="1" applyFont="1" applyFill="1" applyBorder="1" applyAlignment="1">
      <alignment horizontal="center" vertical="center" shrinkToFit="1"/>
    </xf>
    <xf numFmtId="0" fontId="14" fillId="0" borderId="1" xfId="0" applyFont="1" applyFill="1" applyBorder="1" applyAlignment="1">
      <alignment horizontal="center" vertical="center" shrinkToFit="1"/>
    </xf>
    <xf numFmtId="14" fontId="7" fillId="0" borderId="1" xfId="3" applyNumberFormat="1" applyFont="1" applyFill="1" applyBorder="1" applyAlignment="1">
      <alignment horizontal="center" vertical="center" shrinkToFit="1"/>
    </xf>
    <xf numFmtId="49" fontId="9" fillId="0" borderId="1" xfId="0" quotePrefix="1" applyNumberFormat="1" applyFont="1" applyFill="1" applyBorder="1" applyAlignment="1">
      <alignment horizontal="center" vertical="center" shrinkToFit="1"/>
    </xf>
    <xf numFmtId="177" fontId="17" fillId="0" borderId="1" xfId="0" applyNumberFormat="1" applyFont="1" applyFill="1" applyBorder="1" applyAlignment="1">
      <alignment horizontal="center" vertical="center" shrinkToFit="1"/>
    </xf>
    <xf numFmtId="0" fontId="18" fillId="0" borderId="1" xfId="0" applyFont="1" applyFill="1" applyBorder="1" applyAlignment="1">
      <alignment horizontal="center" vertical="center"/>
    </xf>
    <xf numFmtId="177" fontId="17" fillId="0" borderId="1" xfId="0" applyNumberFormat="1" applyFont="1" applyFill="1" applyBorder="1" applyAlignment="1">
      <alignment horizontal="center" vertical="center" wrapText="1" shrinkToFit="1"/>
    </xf>
    <xf numFmtId="14" fontId="17" fillId="0" borderId="1" xfId="0" applyNumberFormat="1" applyFont="1" applyFill="1" applyBorder="1" applyAlignment="1">
      <alignment horizontal="center" vertical="center" shrinkToFit="1"/>
    </xf>
    <xf numFmtId="49" fontId="17" fillId="0" borderId="1" xfId="0" applyNumberFormat="1" applyFont="1" applyFill="1" applyBorder="1" applyAlignment="1">
      <alignment horizontal="center" vertical="center" shrinkToFit="1"/>
    </xf>
    <xf numFmtId="177" fontId="17" fillId="0" borderId="2" xfId="0" quotePrefix="1" applyNumberFormat="1" applyFont="1" applyFill="1" applyBorder="1" applyAlignment="1">
      <alignment horizontal="center" vertical="center" shrinkToFit="1"/>
    </xf>
    <xf numFmtId="14" fontId="17" fillId="0" borderId="3" xfId="0" applyNumberFormat="1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/>
    </xf>
    <xf numFmtId="14" fontId="18" fillId="0" borderId="1" xfId="0" applyNumberFormat="1" applyFont="1" applyFill="1" applyBorder="1" applyAlignment="1">
      <alignment horizontal="center" vertical="center" shrinkToFit="1"/>
    </xf>
    <xf numFmtId="49" fontId="21" fillId="0" borderId="1" xfId="0" applyNumberFormat="1" applyFont="1" applyFill="1" applyBorder="1" applyAlignment="1">
      <alignment horizontal="center" vertical="center" shrinkToFit="1"/>
    </xf>
    <xf numFmtId="49" fontId="20" fillId="0" borderId="1" xfId="0" applyNumberFormat="1" applyFont="1" applyFill="1" applyBorder="1" applyAlignment="1">
      <alignment horizontal="center" vertical="center" shrinkToFit="1"/>
    </xf>
    <xf numFmtId="14" fontId="17" fillId="0" borderId="2" xfId="0" applyNumberFormat="1" applyFont="1" applyFill="1" applyBorder="1" applyAlignment="1">
      <alignment horizontal="center" vertical="center" shrinkToFit="1"/>
    </xf>
    <xf numFmtId="14" fontId="20" fillId="0" borderId="3" xfId="0" applyNumberFormat="1" applyFont="1" applyFill="1" applyBorder="1" applyAlignment="1">
      <alignment horizontal="center" vertical="center" shrinkToFit="1"/>
    </xf>
    <xf numFmtId="49" fontId="20" fillId="0" borderId="1" xfId="0" quotePrefix="1" applyNumberFormat="1" applyFont="1" applyFill="1" applyBorder="1" applyAlignment="1">
      <alignment horizontal="center" vertical="center" shrinkToFit="1"/>
    </xf>
    <xf numFmtId="0" fontId="20" fillId="0" borderId="1" xfId="0" applyFont="1" applyFill="1" applyBorder="1" applyAlignment="1">
      <alignment horizontal="center" vertical="center" wrapText="1" shrinkToFit="1"/>
    </xf>
    <xf numFmtId="14" fontId="17" fillId="0" borderId="1" xfId="1" applyNumberFormat="1" applyFont="1" applyFill="1" applyBorder="1" applyAlignment="1">
      <alignment horizontal="center" vertical="center" shrinkToFit="1"/>
    </xf>
    <xf numFmtId="0" fontId="17" fillId="0" borderId="1" xfId="0" applyFont="1" applyFill="1" applyBorder="1" applyAlignment="1">
      <alignment horizontal="center" vertical="center" shrinkToFit="1"/>
    </xf>
    <xf numFmtId="14" fontId="20" fillId="0" borderId="1" xfId="3" applyNumberFormat="1" applyFont="1" applyFill="1" applyBorder="1" applyAlignment="1">
      <alignment horizontal="center" vertical="center" shrinkToFit="1"/>
    </xf>
    <xf numFmtId="14" fontId="20" fillId="0" borderId="1" xfId="0" applyNumberFormat="1" applyFont="1" applyFill="1" applyBorder="1" applyAlignment="1">
      <alignment horizontal="center" vertical="center" shrinkToFit="1"/>
    </xf>
    <xf numFmtId="179" fontId="20" fillId="0" borderId="2" xfId="0" quotePrefix="1" applyNumberFormat="1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/>
    </xf>
    <xf numFmtId="14" fontId="20" fillId="0" borderId="3" xfId="0" applyNumberFormat="1" applyFont="1" applyFill="1" applyBorder="1" applyAlignment="1">
      <alignment horizontal="center" vertical="center"/>
    </xf>
    <xf numFmtId="49" fontId="21" fillId="0" borderId="1" xfId="0" quotePrefix="1" applyNumberFormat="1" applyFont="1" applyFill="1" applyBorder="1" applyAlignment="1">
      <alignment horizontal="center" vertical="center" shrinkToFit="1"/>
    </xf>
    <xf numFmtId="0" fontId="20" fillId="0" borderId="2" xfId="0" quotePrefix="1" applyFont="1" applyFill="1" applyBorder="1" applyAlignment="1">
      <alignment horizontal="center" vertical="center" shrinkToFit="1"/>
    </xf>
    <xf numFmtId="0" fontId="3" fillId="0" borderId="0" xfId="0" applyFont="1" applyFill="1" applyBorder="1" applyAlignment="1">
      <alignment horizontal="center" vertical="center"/>
    </xf>
    <xf numFmtId="49" fontId="3" fillId="0" borderId="0" xfId="0" applyNumberFormat="1" applyFont="1" applyFill="1" applyBorder="1" applyAlignment="1">
      <alignment horizontal="center" vertical="center"/>
    </xf>
    <xf numFmtId="14" fontId="3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77" fontId="10" fillId="0" borderId="1" xfId="0" applyNumberFormat="1" applyFont="1" applyFill="1" applyBorder="1" applyAlignment="1">
      <alignment horizontal="center" vertical="center"/>
    </xf>
    <xf numFmtId="14" fontId="20" fillId="0" borderId="4" xfId="0" applyNumberFormat="1" applyFont="1" applyFill="1" applyBorder="1" applyAlignment="1">
      <alignment horizontal="center" vertical="center"/>
    </xf>
    <xf numFmtId="176" fontId="3" fillId="0" borderId="0" xfId="0" applyNumberFormat="1" applyFont="1" applyFill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center" vertical="center"/>
    </xf>
    <xf numFmtId="49" fontId="20" fillId="0" borderId="2" xfId="0" quotePrefix="1" applyNumberFormat="1" applyFont="1" applyFill="1" applyBorder="1" applyAlignment="1">
      <alignment horizontal="center" vertical="center"/>
    </xf>
    <xf numFmtId="14" fontId="23" fillId="0" borderId="3" xfId="0" applyNumberFormat="1" applyFont="1" applyFill="1" applyBorder="1" applyAlignment="1">
      <alignment horizontal="center" vertical="center"/>
    </xf>
    <xf numFmtId="0" fontId="24" fillId="0" borderId="0" xfId="0" applyFont="1" applyFill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49" fontId="20" fillId="0" borderId="2" xfId="0" applyNumberFormat="1" applyFont="1" applyFill="1" applyBorder="1" applyAlignment="1">
      <alignment horizontal="center" vertical="center" wrapText="1"/>
    </xf>
    <xf numFmtId="49" fontId="20" fillId="0" borderId="5" xfId="0" quotePrefix="1" applyNumberFormat="1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49" fontId="6" fillId="0" borderId="0" xfId="0" applyNumberFormat="1" applyFont="1" applyFill="1" applyBorder="1" applyAlignment="1">
      <alignment horizontal="left" vertical="center"/>
    </xf>
    <xf numFmtId="0" fontId="28" fillId="0" borderId="0" xfId="0" applyFont="1" applyFill="1" applyBorder="1" applyAlignment="1">
      <alignment horizontal="left" vertical="center"/>
    </xf>
    <xf numFmtId="177" fontId="11" fillId="2" borderId="2" xfId="0" applyNumberFormat="1" applyFont="1" applyFill="1" applyBorder="1" applyAlignment="1">
      <alignment horizontal="center" vertical="center" shrinkToFit="1"/>
    </xf>
    <xf numFmtId="177" fontId="10" fillId="0" borderId="2" xfId="0" applyNumberFormat="1" applyFont="1" applyFill="1" applyBorder="1" applyAlignment="1">
      <alignment horizontal="center" vertical="center" shrinkToFit="1"/>
    </xf>
    <xf numFmtId="0" fontId="7" fillId="0" borderId="2" xfId="0" applyFont="1" applyFill="1" applyBorder="1" applyAlignment="1">
      <alignment horizontal="center" vertical="center" shrinkToFit="1"/>
    </xf>
    <xf numFmtId="14" fontId="7" fillId="0" borderId="2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wrapText="1" shrinkToFit="1"/>
    </xf>
    <xf numFmtId="178" fontId="10" fillId="0" borderId="2" xfId="0" applyNumberFormat="1" applyFont="1" applyFill="1" applyBorder="1" applyAlignment="1">
      <alignment horizontal="center" vertical="center" shrinkToFit="1"/>
    </xf>
    <xf numFmtId="0" fontId="7" fillId="0" borderId="2" xfId="2" applyFont="1" applyFill="1" applyBorder="1" applyAlignment="1">
      <alignment horizontal="center" vertical="center" shrinkToFit="1"/>
    </xf>
    <xf numFmtId="0" fontId="27" fillId="3" borderId="6" xfId="0" applyFont="1" applyFill="1" applyBorder="1" applyAlignment="1">
      <alignment horizontal="center" vertical="center"/>
    </xf>
    <xf numFmtId="0" fontId="27" fillId="3" borderId="7" xfId="0" applyFont="1" applyFill="1" applyBorder="1" applyAlignment="1">
      <alignment horizontal="center" vertical="center"/>
    </xf>
    <xf numFmtId="0" fontId="6" fillId="0" borderId="8" xfId="0" applyFont="1" applyFill="1" applyBorder="1" applyAlignment="1">
      <alignment horizontal="left" vertical="center"/>
    </xf>
    <xf numFmtId="49" fontId="6" fillId="0" borderId="9" xfId="0" applyNumberFormat="1" applyFont="1" applyFill="1" applyBorder="1" applyAlignment="1">
      <alignment horizontal="left" vertical="center"/>
    </xf>
    <xf numFmtId="0" fontId="6" fillId="0" borderId="10" xfId="0" applyFont="1" applyFill="1" applyBorder="1" applyAlignment="1">
      <alignment horizontal="left" vertical="center"/>
    </xf>
    <xf numFmtId="49" fontId="6" fillId="0" borderId="11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center" vertical="center"/>
    </xf>
  </cellXfs>
  <cellStyles count="4">
    <cellStyle name="표준" xfId="0" builtinId="0"/>
    <cellStyle name="표준 4" xfId="1"/>
    <cellStyle name="표준 5" xfId="3"/>
    <cellStyle name="표준 6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hyang@con-co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pageSetUpPr fitToPage="1"/>
  </sheetPr>
  <dimension ref="A1:Q102"/>
  <sheetViews>
    <sheetView tabSelected="1" zoomScale="85" zoomScaleNormal="85" zoomScaleSheetLayoutView="85" workbookViewId="0">
      <selection activeCell="M23" sqref="M23"/>
    </sheetView>
  </sheetViews>
  <sheetFormatPr defaultColWidth="15.625" defaultRowHeight="33" customHeight="1"/>
  <cols>
    <col min="1" max="2" width="15.625" style="49"/>
    <col min="3" max="3" width="15.625" style="49" customWidth="1"/>
    <col min="4" max="4" width="15.625" style="49" hidden="1" customWidth="1"/>
    <col min="5" max="5" width="15.625" style="49" customWidth="1"/>
    <col min="6" max="7" width="15.625" style="49" hidden="1" customWidth="1"/>
    <col min="8" max="8" width="15.625" style="49" customWidth="1"/>
    <col min="9" max="9" width="15.625" style="49" hidden="1" customWidth="1"/>
    <col min="10" max="10" width="15.625" style="50" hidden="1" customWidth="1"/>
    <col min="11" max="12" width="15.625" style="49" hidden="1" customWidth="1"/>
    <col min="13" max="13" width="15.625" style="49" customWidth="1"/>
    <col min="14" max="14" width="15.625" style="51" customWidth="1"/>
    <col min="15" max="16384" width="15.625" style="13"/>
  </cols>
  <sheetData>
    <row r="1" spans="1:16" ht="15" customHeight="1"/>
    <row r="2" spans="1:16" ht="41.1" customHeight="1">
      <c r="A2" s="80" t="s">
        <v>541</v>
      </c>
      <c r="B2" s="80"/>
      <c r="C2" s="80"/>
      <c r="D2" s="80"/>
      <c r="E2" s="80"/>
      <c r="F2" s="80"/>
      <c r="G2" s="80"/>
      <c r="H2" s="80"/>
      <c r="I2" s="80"/>
      <c r="J2" s="80"/>
      <c r="K2" s="80"/>
      <c r="L2" s="80"/>
      <c r="M2" s="80"/>
      <c r="N2" s="80"/>
    </row>
    <row r="3" spans="1:16" ht="24.95" customHeight="1">
      <c r="A3" s="52"/>
      <c r="D3" s="51"/>
      <c r="I3" s="59"/>
      <c r="J3" s="49"/>
    </row>
    <row r="4" spans="1:16" ht="24.95" customHeight="1">
      <c r="A4" s="52"/>
      <c r="B4" s="1" t="s">
        <v>559</v>
      </c>
      <c r="C4" s="1" t="s">
        <v>558</v>
      </c>
      <c r="D4" s="51"/>
      <c r="I4" s="59"/>
      <c r="J4" s="49"/>
    </row>
    <row r="5" spans="1:16" ht="24.95" customHeight="1">
      <c r="A5" s="52"/>
      <c r="B5" s="63" t="s">
        <v>555</v>
      </c>
      <c r="C5" s="2">
        <f>COUNTIF($B$10:$B$101,B5)</f>
        <v>33</v>
      </c>
      <c r="D5" s="51"/>
      <c r="I5" s="59"/>
      <c r="J5" s="49"/>
    </row>
    <row r="6" spans="1:16" ht="24.95" customHeight="1">
      <c r="A6" s="52"/>
      <c r="B6" s="63" t="s">
        <v>556</v>
      </c>
      <c r="C6" s="63">
        <f>COUNTIF($B$10:$B$101,B6)</f>
        <v>59</v>
      </c>
      <c r="D6" s="51"/>
      <c r="I6" s="59"/>
      <c r="J6" s="49"/>
    </row>
    <row r="7" spans="1:16" ht="24.95" customHeight="1">
      <c r="A7" s="52"/>
      <c r="B7" s="64" t="s">
        <v>557</v>
      </c>
      <c r="C7" s="64">
        <f>SUM(C5:C6)</f>
        <v>92</v>
      </c>
      <c r="D7" s="51"/>
      <c r="I7" s="59"/>
      <c r="J7" s="49"/>
      <c r="O7" s="65" t="s">
        <v>560</v>
      </c>
    </row>
    <row r="8" spans="1:16" ht="24.95" customHeight="1" thickBot="1">
      <c r="A8" s="52"/>
      <c r="D8" s="51"/>
      <c r="I8" s="59" t="s">
        <v>535</v>
      </c>
      <c r="J8" s="49"/>
    </row>
    <row r="9" spans="1:16" s="8" customFormat="1" ht="33" customHeight="1" thickTop="1">
      <c r="A9" s="1" t="s">
        <v>490</v>
      </c>
      <c r="B9" s="1" t="s">
        <v>491</v>
      </c>
      <c r="C9" s="1" t="s">
        <v>492</v>
      </c>
      <c r="D9" s="1" t="s">
        <v>493</v>
      </c>
      <c r="E9" s="1" t="s">
        <v>494</v>
      </c>
      <c r="F9" s="1" t="s">
        <v>495</v>
      </c>
      <c r="G9" s="1" t="s">
        <v>238</v>
      </c>
      <c r="H9" s="1" t="s">
        <v>239</v>
      </c>
      <c r="I9" s="1" t="s">
        <v>496</v>
      </c>
      <c r="J9" s="1" t="s">
        <v>497</v>
      </c>
      <c r="K9" s="1" t="s">
        <v>240</v>
      </c>
      <c r="L9" s="1" t="s">
        <v>498</v>
      </c>
      <c r="M9" s="1" t="s">
        <v>499</v>
      </c>
      <c r="N9" s="67" t="s">
        <v>500</v>
      </c>
      <c r="O9" s="74" t="s">
        <v>561</v>
      </c>
      <c r="P9" s="75" t="s">
        <v>562</v>
      </c>
    </row>
    <row r="10" spans="1:16" s="8" customFormat="1" ht="33" hidden="1" customHeight="1">
      <c r="A10" s="2">
        <v>1</v>
      </c>
      <c r="B10" s="2" t="s">
        <v>237</v>
      </c>
      <c r="C10" s="2" t="s">
        <v>3</v>
      </c>
      <c r="D10" s="7" t="s">
        <v>9</v>
      </c>
      <c r="E10" s="2" t="s">
        <v>4</v>
      </c>
      <c r="F10" s="2"/>
      <c r="G10" s="6">
        <v>36412</v>
      </c>
      <c r="H10" s="2" t="s">
        <v>5</v>
      </c>
      <c r="I10" s="3">
        <v>1132</v>
      </c>
      <c r="J10" s="2" t="s">
        <v>6</v>
      </c>
      <c r="K10" s="4" t="s">
        <v>7</v>
      </c>
      <c r="L10" s="4" t="s">
        <v>501</v>
      </c>
      <c r="M10" s="5" t="s">
        <v>73</v>
      </c>
      <c r="N10" s="68" t="s">
        <v>8</v>
      </c>
      <c r="O10" s="76" t="str">
        <f>+K10&amp;$O$7</f>
        <v>ceo@con-cost.com</v>
      </c>
      <c r="P10" s="77">
        <f>+I10</f>
        <v>1132</v>
      </c>
    </row>
    <row r="11" spans="1:16" s="8" customFormat="1" ht="33" hidden="1" customHeight="1">
      <c r="A11" s="2">
        <f>A10+1</f>
        <v>2</v>
      </c>
      <c r="B11" s="2" t="s">
        <v>237</v>
      </c>
      <c r="C11" s="5" t="s">
        <v>10</v>
      </c>
      <c r="D11" s="7" t="s">
        <v>16</v>
      </c>
      <c r="E11" s="5" t="s">
        <v>11</v>
      </c>
      <c r="F11" s="5"/>
      <c r="G11" s="6">
        <v>41281</v>
      </c>
      <c r="H11" s="5" t="s">
        <v>12</v>
      </c>
      <c r="I11" s="9" t="s">
        <v>13</v>
      </c>
      <c r="J11" s="6" t="s">
        <v>14</v>
      </c>
      <c r="K11" s="10" t="s">
        <v>15</v>
      </c>
      <c r="L11" s="10" t="s">
        <v>502</v>
      </c>
      <c r="M11" s="5" t="s">
        <v>231</v>
      </c>
      <c r="N11" s="68" t="s">
        <v>8</v>
      </c>
      <c r="O11" s="76" t="str">
        <f t="shared" ref="O11:O42" si="0">+K11&amp;$O$7</f>
        <v>lwh@con-cost.com</v>
      </c>
      <c r="P11" s="77" t="str">
        <f t="shared" ref="P11:P43" si="1">+I11</f>
        <v>1135</v>
      </c>
    </row>
    <row r="12" spans="1:16" s="8" customFormat="1" ht="33" hidden="1" customHeight="1">
      <c r="A12" s="2">
        <f t="shared" ref="A12:A75" si="2">A11+1</f>
        <v>3</v>
      </c>
      <c r="B12" s="2" t="s">
        <v>237</v>
      </c>
      <c r="C12" s="2" t="s">
        <v>17</v>
      </c>
      <c r="D12" s="2" t="s">
        <v>24</v>
      </c>
      <c r="E12" s="2" t="s">
        <v>1</v>
      </c>
      <c r="F12" s="2"/>
      <c r="G12" s="6">
        <v>44166</v>
      </c>
      <c r="H12" s="2" t="s">
        <v>18</v>
      </c>
      <c r="I12" s="3" t="s">
        <v>19</v>
      </c>
      <c r="J12" s="2" t="s">
        <v>20</v>
      </c>
      <c r="K12" s="4" t="s">
        <v>21</v>
      </c>
      <c r="L12" s="4" t="s">
        <v>503</v>
      </c>
      <c r="M12" s="5" t="s">
        <v>22</v>
      </c>
      <c r="N12" s="69" t="s">
        <v>23</v>
      </c>
      <c r="O12" s="76" t="str">
        <f t="shared" si="0"/>
        <v>sjlee@con-cost.com</v>
      </c>
      <c r="P12" s="77" t="str">
        <f t="shared" si="1"/>
        <v>1314</v>
      </c>
    </row>
    <row r="13" spans="1:16" ht="33" hidden="1" customHeight="1">
      <c r="A13" s="2">
        <f t="shared" si="2"/>
        <v>4</v>
      </c>
      <c r="B13" s="2" t="s">
        <v>237</v>
      </c>
      <c r="C13" s="2" t="s">
        <v>25</v>
      </c>
      <c r="D13" s="7" t="s">
        <v>31</v>
      </c>
      <c r="E13" s="2" t="s">
        <v>26</v>
      </c>
      <c r="F13" s="2"/>
      <c r="G13" s="12">
        <v>40721</v>
      </c>
      <c r="H13" s="2" t="s">
        <v>27</v>
      </c>
      <c r="I13" s="3" t="s">
        <v>28</v>
      </c>
      <c r="J13" s="11" t="s">
        <v>553</v>
      </c>
      <c r="K13" s="4" t="s">
        <v>29</v>
      </c>
      <c r="L13" s="4" t="s">
        <v>504</v>
      </c>
      <c r="M13" s="5" t="s">
        <v>73</v>
      </c>
      <c r="N13" s="69" t="s">
        <v>30</v>
      </c>
      <c r="O13" s="76" t="str">
        <f t="shared" si="0"/>
        <v>kdk1225@con-cost.com</v>
      </c>
      <c r="P13" s="77" t="str">
        <f t="shared" si="1"/>
        <v>1139</v>
      </c>
    </row>
    <row r="14" spans="1:16" ht="33" hidden="1" customHeight="1">
      <c r="A14" s="2">
        <f t="shared" si="2"/>
        <v>5</v>
      </c>
      <c r="B14" s="2" t="s">
        <v>237</v>
      </c>
      <c r="C14" s="5" t="s">
        <v>32</v>
      </c>
      <c r="D14" s="7" t="s">
        <v>39</v>
      </c>
      <c r="E14" s="2" t="s">
        <v>33</v>
      </c>
      <c r="F14" s="2"/>
      <c r="G14" s="12">
        <v>43222</v>
      </c>
      <c r="H14" s="5" t="s">
        <v>34</v>
      </c>
      <c r="I14" s="14" t="s">
        <v>35</v>
      </c>
      <c r="J14" s="15" t="s">
        <v>36</v>
      </c>
      <c r="K14" s="5" t="s">
        <v>37</v>
      </c>
      <c r="L14" s="5" t="s">
        <v>505</v>
      </c>
      <c r="M14" s="5" t="s">
        <v>231</v>
      </c>
      <c r="N14" s="70" t="s">
        <v>38</v>
      </c>
      <c r="O14" s="76" t="str">
        <f t="shared" si="0"/>
        <v>yekim@con-cost.com</v>
      </c>
      <c r="P14" s="77" t="str">
        <f t="shared" si="1"/>
        <v>1463</v>
      </c>
    </row>
    <row r="15" spans="1:16" ht="33" hidden="1" customHeight="1">
      <c r="A15" s="2">
        <f t="shared" si="2"/>
        <v>6</v>
      </c>
      <c r="B15" s="2" t="s">
        <v>237</v>
      </c>
      <c r="C15" s="5" t="s">
        <v>40</v>
      </c>
      <c r="D15" s="7" t="s">
        <v>46</v>
      </c>
      <c r="E15" s="2" t="s">
        <v>33</v>
      </c>
      <c r="F15" s="2"/>
      <c r="G15" s="12">
        <v>43739</v>
      </c>
      <c r="H15" s="5" t="s">
        <v>41</v>
      </c>
      <c r="I15" s="9" t="s">
        <v>42</v>
      </c>
      <c r="J15" s="15" t="s">
        <v>43</v>
      </c>
      <c r="K15" s="5" t="s">
        <v>44</v>
      </c>
      <c r="L15" s="5" t="s">
        <v>506</v>
      </c>
      <c r="M15" s="5" t="s">
        <v>73</v>
      </c>
      <c r="N15" s="70" t="s">
        <v>45</v>
      </c>
      <c r="O15" s="76" t="str">
        <f t="shared" si="0"/>
        <v>tykim@con-cost.com</v>
      </c>
      <c r="P15" s="77" t="str">
        <f t="shared" si="1"/>
        <v>1315</v>
      </c>
    </row>
    <row r="16" spans="1:16" ht="33" hidden="1" customHeight="1">
      <c r="A16" s="2">
        <f t="shared" si="2"/>
        <v>7</v>
      </c>
      <c r="B16" s="2" t="s">
        <v>237</v>
      </c>
      <c r="C16" s="5" t="s">
        <v>47</v>
      </c>
      <c r="D16" s="7" t="s">
        <v>55</v>
      </c>
      <c r="E16" s="2" t="s">
        <v>48</v>
      </c>
      <c r="F16" s="2"/>
      <c r="G16" s="6">
        <v>43983</v>
      </c>
      <c r="H16" s="5" t="s">
        <v>49</v>
      </c>
      <c r="I16" s="16" t="s">
        <v>50</v>
      </c>
      <c r="J16" s="5" t="s">
        <v>51</v>
      </c>
      <c r="K16" s="5" t="s">
        <v>52</v>
      </c>
      <c r="L16" s="5" t="s">
        <v>507</v>
      </c>
      <c r="M16" s="5" t="s">
        <v>53</v>
      </c>
      <c r="N16" s="71" t="s">
        <v>54</v>
      </c>
      <c r="O16" s="76" t="str">
        <f t="shared" si="0"/>
        <v>yehyun@con-cost.com</v>
      </c>
      <c r="P16" s="77" t="str">
        <f t="shared" si="1"/>
        <v>1704</v>
      </c>
    </row>
    <row r="17" spans="1:16" ht="33" customHeight="1">
      <c r="A17" s="2">
        <f t="shared" si="2"/>
        <v>8</v>
      </c>
      <c r="B17" s="2" t="s">
        <v>237</v>
      </c>
      <c r="C17" s="5" t="s">
        <v>56</v>
      </c>
      <c r="D17" s="7" t="s">
        <v>62</v>
      </c>
      <c r="E17" s="2" t="s">
        <v>57</v>
      </c>
      <c r="F17" s="2"/>
      <c r="G17" s="12">
        <v>43801</v>
      </c>
      <c r="H17" s="17" t="s">
        <v>58</v>
      </c>
      <c r="I17" s="9" t="s">
        <v>59</v>
      </c>
      <c r="J17" s="18" t="s">
        <v>554</v>
      </c>
      <c r="K17" s="5" t="s">
        <v>60</v>
      </c>
      <c r="L17" s="5" t="s">
        <v>508</v>
      </c>
      <c r="M17" s="5" t="s">
        <v>73</v>
      </c>
      <c r="N17" s="72" t="s">
        <v>61</v>
      </c>
      <c r="O17" s="76" t="str">
        <f t="shared" si="0"/>
        <v>ybchoi@con-cost.com</v>
      </c>
      <c r="P17" s="77" t="str">
        <f t="shared" si="1"/>
        <v>1705</v>
      </c>
    </row>
    <row r="18" spans="1:16" ht="33" hidden="1" customHeight="1">
      <c r="A18" s="2">
        <f t="shared" si="2"/>
        <v>9</v>
      </c>
      <c r="B18" s="2" t="s">
        <v>237</v>
      </c>
      <c r="C18" s="5" t="s">
        <v>63</v>
      </c>
      <c r="D18" s="7" t="s">
        <v>232</v>
      </c>
      <c r="E18" s="2" t="s">
        <v>0</v>
      </c>
      <c r="F18" s="2"/>
      <c r="G18" s="12">
        <v>46113</v>
      </c>
      <c r="H18" s="17" t="s">
        <v>64</v>
      </c>
      <c r="I18" s="9" t="s">
        <v>65</v>
      </c>
      <c r="J18" s="18" t="s">
        <v>66</v>
      </c>
      <c r="K18" s="5" t="s">
        <v>67</v>
      </c>
      <c r="L18" s="5" t="s">
        <v>509</v>
      </c>
      <c r="M18" s="5" t="s">
        <v>73</v>
      </c>
      <c r="N18" s="72" t="s">
        <v>68</v>
      </c>
      <c r="O18" s="76" t="str">
        <f t="shared" si="0"/>
        <v>lkh@con-cost.com</v>
      </c>
      <c r="P18" s="77" t="str">
        <f t="shared" si="1"/>
        <v>0566</v>
      </c>
    </row>
    <row r="19" spans="1:16" ht="33" customHeight="1">
      <c r="A19" s="2">
        <f t="shared" si="2"/>
        <v>10</v>
      </c>
      <c r="B19" s="2" t="s">
        <v>237</v>
      </c>
      <c r="C19" s="5" t="s">
        <v>69</v>
      </c>
      <c r="D19" s="7" t="s">
        <v>233</v>
      </c>
      <c r="E19" s="17" t="s">
        <v>234</v>
      </c>
      <c r="F19" s="17"/>
      <c r="G19" s="12">
        <v>42226</v>
      </c>
      <c r="H19" s="17" t="s">
        <v>2</v>
      </c>
      <c r="I19" s="9" t="s">
        <v>70</v>
      </c>
      <c r="J19" s="18" t="s">
        <v>71</v>
      </c>
      <c r="K19" s="5" t="s">
        <v>72</v>
      </c>
      <c r="L19" s="5" t="s">
        <v>510</v>
      </c>
      <c r="M19" s="5" t="s">
        <v>73</v>
      </c>
      <c r="N19" s="72" t="s">
        <v>74</v>
      </c>
      <c r="O19" s="76" t="str">
        <f t="shared" si="0"/>
        <v>yjw@con-cost.com</v>
      </c>
      <c r="P19" s="77" t="str">
        <f t="shared" si="1"/>
        <v>1147</v>
      </c>
    </row>
    <row r="20" spans="1:16" ht="33" customHeight="1">
      <c r="A20" s="2">
        <f t="shared" si="2"/>
        <v>11</v>
      </c>
      <c r="B20" s="2" t="s">
        <v>237</v>
      </c>
      <c r="C20" s="21" t="s">
        <v>212</v>
      </c>
      <c r="D20" s="7" t="s">
        <v>217</v>
      </c>
      <c r="E20" s="17" t="s">
        <v>234</v>
      </c>
      <c r="F20" s="17"/>
      <c r="G20" s="22">
        <v>43192</v>
      </c>
      <c r="H20" s="2" t="s">
        <v>85</v>
      </c>
      <c r="I20" s="9" t="s">
        <v>213</v>
      </c>
      <c r="J20" s="19" t="s">
        <v>214</v>
      </c>
      <c r="K20" s="5" t="s">
        <v>215</v>
      </c>
      <c r="L20" s="5" t="s">
        <v>511</v>
      </c>
      <c r="M20" s="5" t="s">
        <v>73</v>
      </c>
      <c r="N20" s="69" t="s">
        <v>216</v>
      </c>
      <c r="O20" s="76" t="str">
        <f t="shared" si="0"/>
        <v>yjpark@con-cost.com</v>
      </c>
      <c r="P20" s="77" t="str">
        <f t="shared" si="1"/>
        <v>1706</v>
      </c>
    </row>
    <row r="21" spans="1:16" s="8" customFormat="1" ht="33" customHeight="1">
      <c r="A21" s="2">
        <f t="shared" si="2"/>
        <v>12</v>
      </c>
      <c r="B21" s="2" t="s">
        <v>237</v>
      </c>
      <c r="C21" s="2" t="s">
        <v>75</v>
      </c>
      <c r="D21" s="7" t="s">
        <v>82</v>
      </c>
      <c r="E21" s="5" t="s">
        <v>76</v>
      </c>
      <c r="F21" s="5"/>
      <c r="G21" s="6">
        <v>44287</v>
      </c>
      <c r="H21" s="2" t="s">
        <v>77</v>
      </c>
      <c r="I21" s="3" t="s">
        <v>78</v>
      </c>
      <c r="J21" s="2" t="s">
        <v>79</v>
      </c>
      <c r="K21" s="5" t="s">
        <v>80</v>
      </c>
      <c r="L21" s="5" t="s">
        <v>512</v>
      </c>
      <c r="M21" s="5" t="s">
        <v>73</v>
      </c>
      <c r="N21" s="73" t="s">
        <v>81</v>
      </c>
      <c r="O21" s="76" t="str">
        <f t="shared" si="0"/>
        <v>hbjo@con-cost.com</v>
      </c>
      <c r="P21" s="77" t="str">
        <f t="shared" si="1"/>
        <v>1141</v>
      </c>
    </row>
    <row r="22" spans="1:16" s="8" customFormat="1" ht="33" customHeight="1">
      <c r="A22" s="2">
        <f t="shared" si="2"/>
        <v>13</v>
      </c>
      <c r="B22" s="2" t="s">
        <v>237</v>
      </c>
      <c r="C22" s="2" t="s">
        <v>83</v>
      </c>
      <c r="D22" s="7" t="s">
        <v>90</v>
      </c>
      <c r="E22" s="5" t="s">
        <v>84</v>
      </c>
      <c r="F22" s="5"/>
      <c r="G22" s="19">
        <v>43836</v>
      </c>
      <c r="H22" s="2" t="s">
        <v>85</v>
      </c>
      <c r="I22" s="3" t="s">
        <v>86</v>
      </c>
      <c r="J22" s="19" t="s">
        <v>87</v>
      </c>
      <c r="K22" s="5" t="s">
        <v>88</v>
      </c>
      <c r="L22" s="5" t="s">
        <v>513</v>
      </c>
      <c r="M22" s="5" t="s">
        <v>73</v>
      </c>
      <c r="N22" s="72" t="s">
        <v>89</v>
      </c>
      <c r="O22" s="76" t="str">
        <f t="shared" si="0"/>
        <v>jhkim@con-cost.com</v>
      </c>
      <c r="P22" s="77" t="str">
        <f t="shared" si="1"/>
        <v>1155</v>
      </c>
    </row>
    <row r="23" spans="1:16" s="8" customFormat="1" ht="33" customHeight="1">
      <c r="A23" s="2">
        <f t="shared" si="2"/>
        <v>14</v>
      </c>
      <c r="B23" s="2" t="s">
        <v>237</v>
      </c>
      <c r="C23" s="2" t="s">
        <v>91</v>
      </c>
      <c r="D23" s="7" t="s">
        <v>97</v>
      </c>
      <c r="E23" s="5" t="s">
        <v>92</v>
      </c>
      <c r="F23" s="5"/>
      <c r="G23" s="19">
        <v>43815</v>
      </c>
      <c r="H23" s="2" t="s">
        <v>85</v>
      </c>
      <c r="I23" s="3" t="s">
        <v>93</v>
      </c>
      <c r="J23" s="19" t="s">
        <v>94</v>
      </c>
      <c r="K23" s="5" t="s">
        <v>95</v>
      </c>
      <c r="L23" s="5" t="s">
        <v>514</v>
      </c>
      <c r="M23" s="5" t="s">
        <v>73</v>
      </c>
      <c r="N23" s="72" t="s">
        <v>96</v>
      </c>
      <c r="O23" s="76" t="str">
        <f t="shared" si="0"/>
        <v>dysung@con-cost.com</v>
      </c>
      <c r="P23" s="77" t="str">
        <f t="shared" si="1"/>
        <v>1154</v>
      </c>
    </row>
    <row r="24" spans="1:16" s="8" customFormat="1" ht="33" customHeight="1">
      <c r="A24" s="2">
        <f t="shared" si="2"/>
        <v>15</v>
      </c>
      <c r="B24" s="2" t="s">
        <v>237</v>
      </c>
      <c r="C24" s="2" t="s">
        <v>98</v>
      </c>
      <c r="D24" s="7" t="s">
        <v>103</v>
      </c>
      <c r="E24" s="5" t="s">
        <v>92</v>
      </c>
      <c r="F24" s="5"/>
      <c r="G24" s="19">
        <v>45145</v>
      </c>
      <c r="H24" s="2" t="s">
        <v>85</v>
      </c>
      <c r="I24" s="3" t="s">
        <v>99</v>
      </c>
      <c r="J24" s="53" t="s">
        <v>100</v>
      </c>
      <c r="K24" s="5" t="s">
        <v>101</v>
      </c>
      <c r="L24" s="5" t="s">
        <v>515</v>
      </c>
      <c r="M24" s="5" t="s">
        <v>73</v>
      </c>
      <c r="N24" s="72" t="s">
        <v>102</v>
      </c>
      <c r="O24" s="76" t="str">
        <f t="shared" si="0"/>
        <v>hkyang@con-cost.com</v>
      </c>
      <c r="P24" s="77" t="str">
        <f t="shared" si="1"/>
        <v>1551</v>
      </c>
    </row>
    <row r="25" spans="1:16" s="8" customFormat="1" ht="33" customHeight="1">
      <c r="A25" s="2">
        <f t="shared" si="2"/>
        <v>16</v>
      </c>
      <c r="B25" s="2" t="s">
        <v>237</v>
      </c>
      <c r="C25" s="2" t="s">
        <v>104</v>
      </c>
      <c r="D25" s="7" t="s">
        <v>109</v>
      </c>
      <c r="E25" s="5" t="s">
        <v>76</v>
      </c>
      <c r="F25" s="5"/>
      <c r="G25" s="19">
        <v>43808</v>
      </c>
      <c r="H25" s="2" t="s">
        <v>85</v>
      </c>
      <c r="I25" s="3" t="s">
        <v>105</v>
      </c>
      <c r="J25" s="19" t="s">
        <v>106</v>
      </c>
      <c r="K25" s="5" t="s">
        <v>107</v>
      </c>
      <c r="L25" s="5" t="s">
        <v>516</v>
      </c>
      <c r="M25" s="5" t="s">
        <v>73</v>
      </c>
      <c r="N25" s="72" t="s">
        <v>108</v>
      </c>
      <c r="O25" s="76" t="str">
        <f t="shared" si="0"/>
        <v>wjs@con-cost.com</v>
      </c>
      <c r="P25" s="77" t="str">
        <f t="shared" si="1"/>
        <v>1151</v>
      </c>
    </row>
    <row r="26" spans="1:16" s="8" customFormat="1" ht="33" customHeight="1">
      <c r="A26" s="2">
        <f t="shared" si="2"/>
        <v>17</v>
      </c>
      <c r="B26" s="2" t="s">
        <v>237</v>
      </c>
      <c r="C26" s="2" t="s">
        <v>110</v>
      </c>
      <c r="D26" s="7" t="s">
        <v>116</v>
      </c>
      <c r="E26" s="5" t="s">
        <v>92</v>
      </c>
      <c r="F26" s="5"/>
      <c r="G26" s="19">
        <v>45293</v>
      </c>
      <c r="H26" s="2" t="s">
        <v>111</v>
      </c>
      <c r="I26" s="3" t="s">
        <v>112</v>
      </c>
      <c r="J26" s="53" t="s">
        <v>113</v>
      </c>
      <c r="K26" s="5" t="s">
        <v>114</v>
      </c>
      <c r="L26" s="5" t="s">
        <v>517</v>
      </c>
      <c r="M26" s="5" t="s">
        <v>73</v>
      </c>
      <c r="N26" s="72" t="s">
        <v>115</v>
      </c>
      <c r="O26" s="76" t="str">
        <f t="shared" si="0"/>
        <v>ygsong@con-cost.com</v>
      </c>
      <c r="P26" s="77" t="str">
        <f t="shared" si="1"/>
        <v>1145</v>
      </c>
    </row>
    <row r="27" spans="1:16" ht="33" customHeight="1">
      <c r="A27" s="2">
        <f t="shared" si="2"/>
        <v>18</v>
      </c>
      <c r="B27" s="2" t="s">
        <v>237</v>
      </c>
      <c r="C27" s="5" t="s">
        <v>117</v>
      </c>
      <c r="D27" s="7" t="s">
        <v>123</v>
      </c>
      <c r="E27" s="5" t="s">
        <v>92</v>
      </c>
      <c r="F27" s="5"/>
      <c r="G27" s="6">
        <v>43248</v>
      </c>
      <c r="H27" s="2" t="s">
        <v>118</v>
      </c>
      <c r="I27" s="9" t="s">
        <v>119</v>
      </c>
      <c r="J27" s="5" t="s">
        <v>120</v>
      </c>
      <c r="K27" s="5" t="s">
        <v>121</v>
      </c>
      <c r="L27" s="5" t="s">
        <v>518</v>
      </c>
      <c r="M27" s="5" t="s">
        <v>231</v>
      </c>
      <c r="N27" s="69" t="s">
        <v>122</v>
      </c>
      <c r="O27" s="76" t="str">
        <f t="shared" si="0"/>
        <v>ejlee@con-cost.com</v>
      </c>
      <c r="P27" s="77" t="str">
        <f t="shared" si="1"/>
        <v>1153</v>
      </c>
    </row>
    <row r="28" spans="1:16" ht="33" customHeight="1">
      <c r="A28" s="2">
        <f t="shared" si="2"/>
        <v>19</v>
      </c>
      <c r="B28" s="2" t="s">
        <v>237</v>
      </c>
      <c r="C28" s="5" t="s">
        <v>124</v>
      </c>
      <c r="D28" s="7" t="s">
        <v>130</v>
      </c>
      <c r="E28" s="5" t="s">
        <v>76</v>
      </c>
      <c r="F28" s="5"/>
      <c r="G28" s="6">
        <v>44074</v>
      </c>
      <c r="H28" s="2" t="s">
        <v>125</v>
      </c>
      <c r="I28" s="9" t="s">
        <v>126</v>
      </c>
      <c r="J28" s="5" t="s">
        <v>127</v>
      </c>
      <c r="K28" s="5" t="s">
        <v>128</v>
      </c>
      <c r="L28" s="5" t="s">
        <v>519</v>
      </c>
      <c r="M28" s="5" t="s">
        <v>231</v>
      </c>
      <c r="N28" s="69" t="s">
        <v>129</v>
      </c>
      <c r="O28" s="76" t="str">
        <f t="shared" si="0"/>
        <v>ejnam@con-cost.com</v>
      </c>
      <c r="P28" s="77" t="str">
        <f t="shared" si="1"/>
        <v>1149</v>
      </c>
    </row>
    <row r="29" spans="1:16" ht="33" customHeight="1">
      <c r="A29" s="2">
        <f t="shared" si="2"/>
        <v>20</v>
      </c>
      <c r="B29" s="2" t="s">
        <v>237</v>
      </c>
      <c r="C29" s="5" t="s">
        <v>131</v>
      </c>
      <c r="D29" s="7" t="s">
        <v>138</v>
      </c>
      <c r="E29" s="5" t="s">
        <v>132</v>
      </c>
      <c r="F29" s="5"/>
      <c r="G29" s="15">
        <v>43228</v>
      </c>
      <c r="H29" s="5" t="s">
        <v>133</v>
      </c>
      <c r="I29" s="9" t="s">
        <v>134</v>
      </c>
      <c r="J29" s="20" t="s">
        <v>135</v>
      </c>
      <c r="K29" s="5" t="s">
        <v>136</v>
      </c>
      <c r="L29" s="5" t="s">
        <v>520</v>
      </c>
      <c r="M29" s="5" t="s">
        <v>73</v>
      </c>
      <c r="N29" s="70" t="s">
        <v>137</v>
      </c>
      <c r="O29" s="76" t="str">
        <f t="shared" si="0"/>
        <v>cysong@con-cost.com</v>
      </c>
      <c r="P29" s="77" t="str">
        <f t="shared" si="1"/>
        <v>1146</v>
      </c>
    </row>
    <row r="30" spans="1:16" ht="33" customHeight="1">
      <c r="A30" s="2">
        <f t="shared" si="2"/>
        <v>21</v>
      </c>
      <c r="B30" s="2" t="s">
        <v>237</v>
      </c>
      <c r="C30" s="5" t="s">
        <v>139</v>
      </c>
      <c r="D30" s="7" t="s">
        <v>144</v>
      </c>
      <c r="E30" s="5" t="s">
        <v>132</v>
      </c>
      <c r="F30" s="5"/>
      <c r="G30" s="15">
        <v>43724</v>
      </c>
      <c r="H30" s="5" t="s">
        <v>41</v>
      </c>
      <c r="I30" s="14" t="s">
        <v>140</v>
      </c>
      <c r="J30" s="15" t="s">
        <v>141</v>
      </c>
      <c r="K30" s="5" t="s">
        <v>142</v>
      </c>
      <c r="L30" s="5" t="s">
        <v>521</v>
      </c>
      <c r="M30" s="5" t="s">
        <v>231</v>
      </c>
      <c r="N30" s="70" t="s">
        <v>143</v>
      </c>
      <c r="O30" s="76" t="str">
        <f t="shared" si="0"/>
        <v>sjim@con-cost.com</v>
      </c>
      <c r="P30" s="77" t="str">
        <f t="shared" si="1"/>
        <v>1156</v>
      </c>
    </row>
    <row r="31" spans="1:16" ht="33" customHeight="1">
      <c r="A31" s="2">
        <f t="shared" si="2"/>
        <v>22</v>
      </c>
      <c r="B31" s="2" t="s">
        <v>237</v>
      </c>
      <c r="C31" s="5" t="s">
        <v>145</v>
      </c>
      <c r="D31" s="7" t="s">
        <v>151</v>
      </c>
      <c r="E31" s="5" t="s">
        <v>132</v>
      </c>
      <c r="F31" s="5"/>
      <c r="G31" s="15">
        <v>45390</v>
      </c>
      <c r="H31" s="5" t="s">
        <v>146</v>
      </c>
      <c r="I31" s="9" t="s">
        <v>147</v>
      </c>
      <c r="J31" s="15" t="s">
        <v>148</v>
      </c>
      <c r="K31" s="5" t="s">
        <v>149</v>
      </c>
      <c r="L31" s="5" t="s">
        <v>522</v>
      </c>
      <c r="M31" s="5" t="s">
        <v>73</v>
      </c>
      <c r="N31" s="70" t="s">
        <v>150</v>
      </c>
      <c r="O31" s="76" t="str">
        <f t="shared" si="0"/>
        <v>cylim@con-cost.com</v>
      </c>
      <c r="P31" s="77" t="str">
        <f t="shared" si="1"/>
        <v>1148</v>
      </c>
    </row>
    <row r="32" spans="1:16" ht="33" customHeight="1">
      <c r="A32" s="2">
        <f t="shared" si="2"/>
        <v>23</v>
      </c>
      <c r="B32" s="2" t="s">
        <v>237</v>
      </c>
      <c r="C32" s="5" t="s">
        <v>152</v>
      </c>
      <c r="D32" s="7" t="s">
        <v>158</v>
      </c>
      <c r="E32" s="5" t="s">
        <v>132</v>
      </c>
      <c r="F32" s="5"/>
      <c r="G32" s="15">
        <v>45299</v>
      </c>
      <c r="H32" s="5" t="s">
        <v>153</v>
      </c>
      <c r="I32" s="9" t="s">
        <v>154</v>
      </c>
      <c r="J32" s="15" t="s">
        <v>155</v>
      </c>
      <c r="K32" s="5" t="s">
        <v>156</v>
      </c>
      <c r="L32" s="5" t="s">
        <v>523</v>
      </c>
      <c r="M32" s="5" t="s">
        <v>73</v>
      </c>
      <c r="N32" s="70" t="s">
        <v>157</v>
      </c>
      <c r="O32" s="76" t="str">
        <f t="shared" si="0"/>
        <v xml:space="preserve"> skkim@con-cost.com</v>
      </c>
      <c r="P32" s="77" t="str">
        <f t="shared" si="1"/>
        <v>1359</v>
      </c>
    </row>
    <row r="33" spans="1:17" s="8" customFormat="1" ht="33" customHeight="1">
      <c r="A33" s="2">
        <f t="shared" si="2"/>
        <v>24</v>
      </c>
      <c r="B33" s="2" t="s">
        <v>237</v>
      </c>
      <c r="C33" s="2" t="s">
        <v>159</v>
      </c>
      <c r="D33" s="7" t="s">
        <v>166</v>
      </c>
      <c r="E33" s="5" t="s">
        <v>160</v>
      </c>
      <c r="F33" s="5"/>
      <c r="G33" s="19">
        <v>45170</v>
      </c>
      <c r="H33" s="5" t="s">
        <v>161</v>
      </c>
      <c r="I33" s="3" t="s">
        <v>162</v>
      </c>
      <c r="J33" s="53" t="s">
        <v>163</v>
      </c>
      <c r="K33" s="5" t="s">
        <v>164</v>
      </c>
      <c r="L33" s="5" t="s">
        <v>524</v>
      </c>
      <c r="M33" s="5" t="s">
        <v>73</v>
      </c>
      <c r="N33" s="72" t="s">
        <v>165</v>
      </c>
      <c r="O33" s="76" t="str">
        <f t="shared" si="0"/>
        <v>bsjang@con-cost.com</v>
      </c>
      <c r="P33" s="77" t="str">
        <f t="shared" si="1"/>
        <v>1137</v>
      </c>
    </row>
    <row r="34" spans="1:17" ht="33" customHeight="1">
      <c r="A34" s="2">
        <f t="shared" si="2"/>
        <v>25</v>
      </c>
      <c r="B34" s="2" t="s">
        <v>237</v>
      </c>
      <c r="C34" s="5" t="s">
        <v>167</v>
      </c>
      <c r="D34" s="7" t="s">
        <v>174</v>
      </c>
      <c r="E34" s="5" t="s">
        <v>168</v>
      </c>
      <c r="F34" s="5"/>
      <c r="G34" s="15">
        <v>44953</v>
      </c>
      <c r="H34" s="5" t="s">
        <v>169</v>
      </c>
      <c r="I34" s="9" t="s">
        <v>170</v>
      </c>
      <c r="J34" s="15" t="s">
        <v>171</v>
      </c>
      <c r="K34" s="5" t="s">
        <v>172</v>
      </c>
      <c r="L34" s="5" t="s">
        <v>525</v>
      </c>
      <c r="M34" s="5" t="s">
        <v>73</v>
      </c>
      <c r="N34" s="70" t="s">
        <v>173</v>
      </c>
      <c r="O34" s="76" t="str">
        <f t="shared" si="0"/>
        <v>dhshin@con-cost.com</v>
      </c>
      <c r="P34" s="77" t="str">
        <f t="shared" si="1"/>
        <v>1316</v>
      </c>
    </row>
    <row r="35" spans="1:17" ht="33" customHeight="1">
      <c r="A35" s="2">
        <f t="shared" si="2"/>
        <v>26</v>
      </c>
      <c r="B35" s="2" t="s">
        <v>237</v>
      </c>
      <c r="C35" s="21" t="s">
        <v>175</v>
      </c>
      <c r="D35" s="7" t="s">
        <v>180</v>
      </c>
      <c r="E35" s="5" t="s">
        <v>168</v>
      </c>
      <c r="F35" s="5"/>
      <c r="G35" s="22">
        <v>43962</v>
      </c>
      <c r="H35" s="5" t="s">
        <v>85</v>
      </c>
      <c r="I35" s="9" t="s">
        <v>176</v>
      </c>
      <c r="J35" s="19" t="s">
        <v>177</v>
      </c>
      <c r="K35" s="5" t="s">
        <v>178</v>
      </c>
      <c r="L35" s="5" t="s">
        <v>526</v>
      </c>
      <c r="M35" s="5" t="s">
        <v>231</v>
      </c>
      <c r="N35" s="69" t="s">
        <v>179</v>
      </c>
      <c r="O35" s="76" t="str">
        <f t="shared" si="0"/>
        <v>cwkim@con-cost.com</v>
      </c>
      <c r="P35" s="77" t="str">
        <f t="shared" si="1"/>
        <v>1150</v>
      </c>
    </row>
    <row r="36" spans="1:17" ht="33" customHeight="1">
      <c r="A36" s="2">
        <f t="shared" si="2"/>
        <v>27</v>
      </c>
      <c r="B36" s="2" t="s">
        <v>237</v>
      </c>
      <c r="C36" s="21" t="s">
        <v>181</v>
      </c>
      <c r="D36" s="7" t="s">
        <v>186</v>
      </c>
      <c r="E36" s="5" t="s">
        <v>168</v>
      </c>
      <c r="F36" s="5"/>
      <c r="G36" s="22">
        <v>45293</v>
      </c>
      <c r="H36" s="5" t="s">
        <v>85</v>
      </c>
      <c r="I36" s="9" t="s">
        <v>182</v>
      </c>
      <c r="J36" s="19" t="s">
        <v>183</v>
      </c>
      <c r="K36" s="5" t="s">
        <v>184</v>
      </c>
      <c r="L36" s="5" t="s">
        <v>527</v>
      </c>
      <c r="M36" s="5" t="s">
        <v>73</v>
      </c>
      <c r="N36" s="69" t="s">
        <v>185</v>
      </c>
      <c r="O36" s="76" t="str">
        <f t="shared" si="0"/>
        <v xml:space="preserve"> jclee@con-cost.com</v>
      </c>
      <c r="P36" s="77" t="str">
        <f t="shared" si="1"/>
        <v>1136</v>
      </c>
    </row>
    <row r="37" spans="1:17" ht="33" customHeight="1">
      <c r="A37" s="2">
        <f t="shared" si="2"/>
        <v>28</v>
      </c>
      <c r="B37" s="2" t="s">
        <v>237</v>
      </c>
      <c r="C37" s="21" t="s">
        <v>187</v>
      </c>
      <c r="D37" s="7" t="s">
        <v>192</v>
      </c>
      <c r="E37" s="5" t="s">
        <v>168</v>
      </c>
      <c r="F37" s="5"/>
      <c r="G37" s="22">
        <v>45978</v>
      </c>
      <c r="H37" s="5" t="s">
        <v>133</v>
      </c>
      <c r="I37" s="9" t="s">
        <v>188</v>
      </c>
      <c r="J37" s="19" t="s">
        <v>189</v>
      </c>
      <c r="K37" s="5" t="s">
        <v>190</v>
      </c>
      <c r="L37" s="5" t="s">
        <v>528</v>
      </c>
      <c r="M37" s="5" t="s">
        <v>231</v>
      </c>
      <c r="N37" s="69" t="s">
        <v>191</v>
      </c>
      <c r="O37" s="76" t="str">
        <f t="shared" si="0"/>
        <v>shpark@con-cost.com</v>
      </c>
      <c r="P37" s="77" t="str">
        <f t="shared" si="1"/>
        <v>1144</v>
      </c>
    </row>
    <row r="38" spans="1:17" s="8" customFormat="1" ht="33" customHeight="1">
      <c r="A38" s="2">
        <f t="shared" si="2"/>
        <v>29</v>
      </c>
      <c r="B38" s="2" t="s">
        <v>237</v>
      </c>
      <c r="C38" s="21" t="s">
        <v>193</v>
      </c>
      <c r="D38" s="7" t="s">
        <v>198</v>
      </c>
      <c r="E38" s="5" t="s">
        <v>168</v>
      </c>
      <c r="F38" s="5"/>
      <c r="G38" s="22">
        <v>45880</v>
      </c>
      <c r="H38" s="2" t="s">
        <v>133</v>
      </c>
      <c r="I38" s="16" t="s">
        <v>194</v>
      </c>
      <c r="J38" s="19" t="s">
        <v>195</v>
      </c>
      <c r="K38" s="5" t="s">
        <v>196</v>
      </c>
      <c r="L38" s="5" t="s">
        <v>529</v>
      </c>
      <c r="M38" s="5" t="s">
        <v>231</v>
      </c>
      <c r="N38" s="69" t="s">
        <v>197</v>
      </c>
      <c r="O38" s="76" t="str">
        <f t="shared" si="0"/>
        <v>hwseo@con-cost.com</v>
      </c>
      <c r="P38" s="77" t="str">
        <f t="shared" si="1"/>
        <v>1370</v>
      </c>
    </row>
    <row r="39" spans="1:17" s="8" customFormat="1" ht="33" customHeight="1">
      <c r="A39" s="2">
        <f t="shared" si="2"/>
        <v>30</v>
      </c>
      <c r="B39" s="2" t="s">
        <v>237</v>
      </c>
      <c r="C39" s="21" t="s">
        <v>199</v>
      </c>
      <c r="D39" s="7" t="s">
        <v>204</v>
      </c>
      <c r="E39" s="5" t="s">
        <v>168</v>
      </c>
      <c r="F39" s="5"/>
      <c r="G39" s="22">
        <v>45873</v>
      </c>
      <c r="H39" s="2" t="s">
        <v>153</v>
      </c>
      <c r="I39" s="23" t="s">
        <v>200</v>
      </c>
      <c r="J39" s="19" t="s">
        <v>201</v>
      </c>
      <c r="K39" s="5" t="s">
        <v>202</v>
      </c>
      <c r="L39" s="5" t="s">
        <v>530</v>
      </c>
      <c r="M39" s="5" t="s">
        <v>73</v>
      </c>
      <c r="N39" s="69" t="s">
        <v>203</v>
      </c>
      <c r="O39" s="76" t="str">
        <f t="shared" si="0"/>
        <v>jhyang@con-cost.com</v>
      </c>
      <c r="P39" s="77" t="str">
        <f t="shared" si="1"/>
        <v>1133</v>
      </c>
    </row>
    <row r="40" spans="1:17" ht="33" customHeight="1">
      <c r="A40" s="2">
        <f t="shared" si="2"/>
        <v>31</v>
      </c>
      <c r="B40" s="2" t="s">
        <v>237</v>
      </c>
      <c r="C40" s="21" t="s">
        <v>205</v>
      </c>
      <c r="D40" s="7" t="s">
        <v>211</v>
      </c>
      <c r="E40" s="5" t="s">
        <v>565</v>
      </c>
      <c r="F40" s="5"/>
      <c r="G40" s="22">
        <v>43304</v>
      </c>
      <c r="H40" s="5" t="s">
        <v>206</v>
      </c>
      <c r="I40" s="9" t="s">
        <v>207</v>
      </c>
      <c r="J40" s="19" t="s">
        <v>208</v>
      </c>
      <c r="K40" s="5" t="s">
        <v>209</v>
      </c>
      <c r="L40" s="5" t="s">
        <v>531</v>
      </c>
      <c r="M40" s="5" t="s">
        <v>231</v>
      </c>
      <c r="N40" s="69" t="s">
        <v>210</v>
      </c>
      <c r="O40" s="76" t="str">
        <f t="shared" si="0"/>
        <v>lsh@con-cost.com</v>
      </c>
      <c r="P40" s="77" t="str">
        <f t="shared" si="1"/>
        <v>1138</v>
      </c>
    </row>
    <row r="41" spans="1:17" ht="33" customHeight="1">
      <c r="A41" s="2">
        <f t="shared" si="2"/>
        <v>32</v>
      </c>
      <c r="B41" s="2" t="s">
        <v>237</v>
      </c>
      <c r="C41" s="5" t="s">
        <v>218</v>
      </c>
      <c r="D41" s="7" t="s">
        <v>225</v>
      </c>
      <c r="E41" s="5" t="s">
        <v>219</v>
      </c>
      <c r="F41" s="5"/>
      <c r="G41" s="15">
        <v>40904</v>
      </c>
      <c r="H41" s="5" t="s">
        <v>220</v>
      </c>
      <c r="I41" s="3" t="s">
        <v>221</v>
      </c>
      <c r="J41" s="5" t="s">
        <v>222</v>
      </c>
      <c r="K41" s="5" t="s">
        <v>223</v>
      </c>
      <c r="L41" s="5" t="s">
        <v>532</v>
      </c>
      <c r="M41" s="5" t="s">
        <v>73</v>
      </c>
      <c r="N41" s="69" t="s">
        <v>224</v>
      </c>
      <c r="O41" s="76" t="str">
        <f t="shared" si="0"/>
        <v>osg@con-cost.com</v>
      </c>
      <c r="P41" s="77" t="str">
        <f t="shared" si="1"/>
        <v>0116</v>
      </c>
    </row>
    <row r="42" spans="1:17" ht="33" customHeight="1">
      <c r="A42" s="2">
        <f t="shared" si="2"/>
        <v>33</v>
      </c>
      <c r="B42" s="2" t="s">
        <v>237</v>
      </c>
      <c r="C42" s="5" t="s">
        <v>226</v>
      </c>
      <c r="D42" s="7" t="s">
        <v>235</v>
      </c>
      <c r="E42" s="5" t="s">
        <v>219</v>
      </c>
      <c r="F42" s="5"/>
      <c r="G42" s="15">
        <v>46160</v>
      </c>
      <c r="H42" s="5" t="s">
        <v>227</v>
      </c>
      <c r="I42" s="3" t="s">
        <v>228</v>
      </c>
      <c r="J42" s="5" t="s">
        <v>229</v>
      </c>
      <c r="K42" s="5" t="s">
        <v>230</v>
      </c>
      <c r="L42" s="5" t="s">
        <v>533</v>
      </c>
      <c r="M42" s="5" t="s">
        <v>73</v>
      </c>
      <c r="N42" s="69" t="s">
        <v>236</v>
      </c>
      <c r="O42" s="76" t="str">
        <f t="shared" si="0"/>
        <v>mjjang@con-cost.com</v>
      </c>
      <c r="P42" s="77" t="str">
        <f t="shared" si="1"/>
        <v>0115</v>
      </c>
    </row>
    <row r="43" spans="1:17" ht="33" customHeight="1">
      <c r="A43" s="2">
        <f t="shared" si="2"/>
        <v>34</v>
      </c>
      <c r="B43" s="2" t="s">
        <v>489</v>
      </c>
      <c r="C43" s="24" t="s">
        <v>241</v>
      </c>
      <c r="D43" s="25" t="s">
        <v>242</v>
      </c>
      <c r="E43" s="26" t="s">
        <v>479</v>
      </c>
      <c r="F43" s="24" t="s">
        <v>542</v>
      </c>
      <c r="G43" s="27">
        <v>43158</v>
      </c>
      <c r="H43" s="24" t="s">
        <v>243</v>
      </c>
      <c r="I43" s="23" t="s">
        <v>534</v>
      </c>
      <c r="J43" s="29" t="s">
        <v>244</v>
      </c>
      <c r="K43" s="45" t="s">
        <v>245</v>
      </c>
      <c r="L43" s="30">
        <v>30610</v>
      </c>
      <c r="M43" s="31" t="s">
        <v>231</v>
      </c>
      <c r="N43" s="69"/>
      <c r="O43" s="76" t="s">
        <v>563</v>
      </c>
      <c r="P43" s="77" t="str">
        <f t="shared" si="1"/>
        <v>1142</v>
      </c>
      <c r="Q43" s="66" t="s">
        <v>564</v>
      </c>
    </row>
    <row r="44" spans="1:17" ht="33" customHeight="1">
      <c r="A44" s="2">
        <f t="shared" si="2"/>
        <v>35</v>
      </c>
      <c r="B44" s="2" t="s">
        <v>489</v>
      </c>
      <c r="C44" s="31" t="s">
        <v>289</v>
      </c>
      <c r="D44" s="25" t="s">
        <v>290</v>
      </c>
      <c r="E44" s="26" t="s">
        <v>482</v>
      </c>
      <c r="F44" s="31" t="s">
        <v>292</v>
      </c>
      <c r="G44" s="33">
        <v>43352</v>
      </c>
      <c r="H44" s="39" t="s">
        <v>293</v>
      </c>
      <c r="I44" s="35"/>
      <c r="J44" s="44" t="s">
        <v>294</v>
      </c>
      <c r="K44" s="45" t="s">
        <v>295</v>
      </c>
      <c r="L44" s="46">
        <v>34644</v>
      </c>
      <c r="M44" s="31" t="s">
        <v>231</v>
      </c>
      <c r="N44" s="69"/>
      <c r="O44" s="76"/>
      <c r="P44" s="77"/>
    </row>
    <row r="45" spans="1:17" ht="33" customHeight="1">
      <c r="A45" s="2">
        <f t="shared" si="2"/>
        <v>36</v>
      </c>
      <c r="B45" s="2" t="s">
        <v>489</v>
      </c>
      <c r="C45" s="31" t="s">
        <v>409</v>
      </c>
      <c r="D45" s="32" t="s">
        <v>410</v>
      </c>
      <c r="E45" s="26" t="s">
        <v>291</v>
      </c>
      <c r="F45" s="31" t="s">
        <v>292</v>
      </c>
      <c r="G45" s="43">
        <v>45235</v>
      </c>
      <c r="H45" s="31" t="s">
        <v>293</v>
      </c>
      <c r="I45" s="28"/>
      <c r="J45" s="56" t="s">
        <v>411</v>
      </c>
      <c r="K45" s="45" t="s">
        <v>412</v>
      </c>
      <c r="L45" s="46">
        <v>35435</v>
      </c>
      <c r="M45" s="31" t="s">
        <v>231</v>
      </c>
      <c r="N45" s="69"/>
      <c r="O45" s="76"/>
      <c r="P45" s="77"/>
    </row>
    <row r="46" spans="1:17" ht="33" customHeight="1">
      <c r="A46" s="2">
        <f t="shared" si="2"/>
        <v>37</v>
      </c>
      <c r="B46" s="2" t="s">
        <v>489</v>
      </c>
      <c r="C46" s="31" t="s">
        <v>336</v>
      </c>
      <c r="D46" s="25" t="s">
        <v>337</v>
      </c>
      <c r="E46" s="31" t="s">
        <v>254</v>
      </c>
      <c r="F46" s="31" t="s">
        <v>338</v>
      </c>
      <c r="G46" s="43">
        <v>43794</v>
      </c>
      <c r="H46" s="31" t="s">
        <v>249</v>
      </c>
      <c r="I46" s="35"/>
      <c r="J46" s="44" t="s">
        <v>339</v>
      </c>
      <c r="K46" s="45" t="s">
        <v>340</v>
      </c>
      <c r="L46" s="46">
        <v>35378</v>
      </c>
      <c r="M46" s="31" t="s">
        <v>480</v>
      </c>
      <c r="N46" s="69"/>
      <c r="O46" s="76"/>
      <c r="P46" s="77"/>
    </row>
    <row r="47" spans="1:17" ht="33" customHeight="1">
      <c r="A47" s="2">
        <f t="shared" si="2"/>
        <v>38</v>
      </c>
      <c r="B47" s="2" t="s">
        <v>489</v>
      </c>
      <c r="C47" s="41" t="s">
        <v>350</v>
      </c>
      <c r="D47" s="32" t="s">
        <v>351</v>
      </c>
      <c r="E47" s="31" t="s">
        <v>254</v>
      </c>
      <c r="F47" s="31" t="s">
        <v>338</v>
      </c>
      <c r="G47" s="42">
        <v>44324</v>
      </c>
      <c r="H47" s="24" t="s">
        <v>274</v>
      </c>
      <c r="I47" s="38"/>
      <c r="J47" s="56" t="s">
        <v>352</v>
      </c>
      <c r="K47" s="45" t="s">
        <v>353</v>
      </c>
      <c r="L47" s="46">
        <v>36403</v>
      </c>
      <c r="M47" s="31" t="s">
        <v>231</v>
      </c>
      <c r="N47" s="69"/>
      <c r="O47" s="76"/>
      <c r="P47" s="77"/>
    </row>
    <row r="48" spans="1:17" ht="33" customHeight="1">
      <c r="A48" s="2">
        <f t="shared" si="2"/>
        <v>39</v>
      </c>
      <c r="B48" s="2" t="s">
        <v>489</v>
      </c>
      <c r="C48" s="31" t="s">
        <v>362</v>
      </c>
      <c r="D48" s="32" t="s">
        <v>363</v>
      </c>
      <c r="E48" s="31" t="s">
        <v>254</v>
      </c>
      <c r="F48" s="31" t="s">
        <v>338</v>
      </c>
      <c r="G48" s="43">
        <v>44682</v>
      </c>
      <c r="H48" s="31" t="s">
        <v>293</v>
      </c>
      <c r="I48" s="28"/>
      <c r="J48" s="56" t="s">
        <v>364</v>
      </c>
      <c r="K48" s="45" t="s">
        <v>365</v>
      </c>
      <c r="L48" s="46">
        <v>36357</v>
      </c>
      <c r="M48" s="31" t="s">
        <v>231</v>
      </c>
      <c r="N48" s="69"/>
      <c r="O48" s="76"/>
      <c r="P48" s="77"/>
    </row>
    <row r="49" spans="1:16" ht="33" customHeight="1">
      <c r="A49" s="2">
        <f t="shared" si="2"/>
        <v>40</v>
      </c>
      <c r="B49" s="2" t="s">
        <v>489</v>
      </c>
      <c r="C49" s="31" t="s">
        <v>370</v>
      </c>
      <c r="D49" s="32" t="s">
        <v>371</v>
      </c>
      <c r="E49" s="31" t="s">
        <v>254</v>
      </c>
      <c r="F49" s="31" t="s">
        <v>338</v>
      </c>
      <c r="G49" s="43">
        <v>44682</v>
      </c>
      <c r="H49" s="31" t="s">
        <v>293</v>
      </c>
      <c r="I49" s="28"/>
      <c r="J49" s="56" t="s">
        <v>484</v>
      </c>
      <c r="K49" s="45" t="s">
        <v>372</v>
      </c>
      <c r="L49" s="46">
        <v>35289</v>
      </c>
      <c r="M49" s="31" t="s">
        <v>266</v>
      </c>
      <c r="N49" s="69"/>
      <c r="O49" s="76"/>
      <c r="P49" s="77"/>
    </row>
    <row r="50" spans="1:16" ht="33" customHeight="1">
      <c r="A50" s="2">
        <f t="shared" si="2"/>
        <v>41</v>
      </c>
      <c r="B50" s="2" t="s">
        <v>489</v>
      </c>
      <c r="C50" s="31" t="s">
        <v>383</v>
      </c>
      <c r="D50" s="32" t="s">
        <v>384</v>
      </c>
      <c r="E50" s="31" t="s">
        <v>254</v>
      </c>
      <c r="F50" s="31" t="s">
        <v>338</v>
      </c>
      <c r="G50" s="43">
        <v>44898</v>
      </c>
      <c r="H50" s="31" t="s">
        <v>293</v>
      </c>
      <c r="I50" s="28"/>
      <c r="J50" s="56" t="s">
        <v>487</v>
      </c>
      <c r="K50" s="45" t="s">
        <v>385</v>
      </c>
      <c r="L50" s="46">
        <v>36852</v>
      </c>
      <c r="M50" s="31" t="s">
        <v>480</v>
      </c>
      <c r="N50" s="69"/>
      <c r="O50" s="76"/>
      <c r="P50" s="77"/>
    </row>
    <row r="51" spans="1:16" ht="33" customHeight="1">
      <c r="A51" s="2">
        <f t="shared" si="2"/>
        <v>42</v>
      </c>
      <c r="B51" s="2" t="s">
        <v>489</v>
      </c>
      <c r="C51" s="31" t="s">
        <v>463</v>
      </c>
      <c r="D51" s="32" t="s">
        <v>464</v>
      </c>
      <c r="E51" s="31" t="s">
        <v>254</v>
      </c>
      <c r="F51" s="31" t="s">
        <v>338</v>
      </c>
      <c r="G51" s="43">
        <v>46179</v>
      </c>
      <c r="H51" s="31" t="s">
        <v>293</v>
      </c>
      <c r="I51" s="28"/>
      <c r="J51" s="57" t="s">
        <v>465</v>
      </c>
      <c r="K51" s="45" t="s">
        <v>466</v>
      </c>
      <c r="L51" s="58">
        <v>36261</v>
      </c>
      <c r="M51" s="31" t="s">
        <v>266</v>
      </c>
      <c r="N51" s="69"/>
      <c r="O51" s="76"/>
      <c r="P51" s="77"/>
    </row>
    <row r="52" spans="1:16" ht="33" customHeight="1">
      <c r="A52" s="2">
        <f t="shared" si="2"/>
        <v>43</v>
      </c>
      <c r="B52" s="2" t="s">
        <v>489</v>
      </c>
      <c r="C52" s="31" t="s">
        <v>467</v>
      </c>
      <c r="D52" s="32" t="s">
        <v>468</v>
      </c>
      <c r="E52" s="31" t="s">
        <v>254</v>
      </c>
      <c r="F52" s="31" t="s">
        <v>338</v>
      </c>
      <c r="G52" s="43">
        <v>46179</v>
      </c>
      <c r="H52" s="31" t="s">
        <v>293</v>
      </c>
      <c r="I52" s="28"/>
      <c r="J52" s="57" t="s">
        <v>469</v>
      </c>
      <c r="K52" s="45" t="s">
        <v>470</v>
      </c>
      <c r="L52" s="58">
        <v>35683</v>
      </c>
      <c r="M52" s="31" t="s">
        <v>480</v>
      </c>
      <c r="N52" s="69"/>
      <c r="O52" s="76"/>
      <c r="P52" s="77"/>
    </row>
    <row r="53" spans="1:16" ht="33" customHeight="1">
      <c r="A53" s="2">
        <f t="shared" si="2"/>
        <v>44</v>
      </c>
      <c r="B53" s="2" t="s">
        <v>489</v>
      </c>
      <c r="C53" s="31" t="s">
        <v>252</v>
      </c>
      <c r="D53" s="32" t="s">
        <v>253</v>
      </c>
      <c r="E53" s="24" t="s">
        <v>254</v>
      </c>
      <c r="F53" s="24" t="s">
        <v>255</v>
      </c>
      <c r="G53" s="27">
        <v>43246</v>
      </c>
      <c r="H53" s="31" t="s">
        <v>249</v>
      </c>
      <c r="I53" s="35"/>
      <c r="J53" s="36" t="s">
        <v>256</v>
      </c>
      <c r="K53" s="45" t="s">
        <v>257</v>
      </c>
      <c r="L53" s="37">
        <v>34795</v>
      </c>
      <c r="M53" s="31" t="s">
        <v>480</v>
      </c>
      <c r="N53" s="69"/>
      <c r="O53" s="76"/>
      <c r="P53" s="77"/>
    </row>
    <row r="54" spans="1:16" ht="33" customHeight="1">
      <c r="A54" s="2">
        <f t="shared" si="2"/>
        <v>45</v>
      </c>
      <c r="B54" s="2" t="s">
        <v>489</v>
      </c>
      <c r="C54" s="41" t="s">
        <v>344</v>
      </c>
      <c r="D54" s="32" t="s">
        <v>537</v>
      </c>
      <c r="E54" s="31" t="s">
        <v>254</v>
      </c>
      <c r="F54" s="31" t="s">
        <v>255</v>
      </c>
      <c r="G54" s="42">
        <v>43821</v>
      </c>
      <c r="H54" s="31" t="s">
        <v>274</v>
      </c>
      <c r="I54" s="35"/>
      <c r="J54" s="44" t="s">
        <v>345</v>
      </c>
      <c r="K54" s="45" t="s">
        <v>346</v>
      </c>
      <c r="L54" s="46">
        <v>35435</v>
      </c>
      <c r="M54" s="31" t="s">
        <v>231</v>
      </c>
      <c r="N54" s="69"/>
      <c r="O54" s="76"/>
      <c r="P54" s="77"/>
    </row>
    <row r="55" spans="1:16" ht="33" customHeight="1">
      <c r="A55" s="2">
        <f t="shared" si="2"/>
        <v>46</v>
      </c>
      <c r="B55" s="2" t="s">
        <v>489</v>
      </c>
      <c r="C55" s="31" t="s">
        <v>405</v>
      </c>
      <c r="D55" s="32" t="s">
        <v>406</v>
      </c>
      <c r="E55" s="31" t="s">
        <v>254</v>
      </c>
      <c r="F55" s="31" t="s">
        <v>255</v>
      </c>
      <c r="G55" s="43">
        <v>45179</v>
      </c>
      <c r="H55" s="31" t="s">
        <v>293</v>
      </c>
      <c r="I55" s="28"/>
      <c r="J55" s="56" t="s">
        <v>407</v>
      </c>
      <c r="K55" s="45" t="s">
        <v>408</v>
      </c>
      <c r="L55" s="46">
        <v>36784</v>
      </c>
      <c r="M55" s="31" t="s">
        <v>480</v>
      </c>
      <c r="N55" s="69"/>
      <c r="O55" s="76"/>
      <c r="P55" s="77"/>
    </row>
    <row r="56" spans="1:16" s="49" customFormat="1" ht="33" customHeight="1">
      <c r="A56" s="2">
        <f t="shared" si="2"/>
        <v>47</v>
      </c>
      <c r="B56" s="2" t="s">
        <v>489</v>
      </c>
      <c r="C56" s="31" t="s">
        <v>451</v>
      </c>
      <c r="D56" s="32" t="s">
        <v>452</v>
      </c>
      <c r="E56" s="31" t="s">
        <v>254</v>
      </c>
      <c r="F56" s="31" t="s">
        <v>255</v>
      </c>
      <c r="G56" s="43">
        <v>46054</v>
      </c>
      <c r="H56" s="31" t="s">
        <v>293</v>
      </c>
      <c r="I56" s="28"/>
      <c r="J56" s="57" t="s">
        <v>453</v>
      </c>
      <c r="K56" s="45" t="s">
        <v>454</v>
      </c>
      <c r="L56" s="58">
        <v>37570</v>
      </c>
      <c r="M56" s="31" t="s">
        <v>480</v>
      </c>
      <c r="N56" s="69"/>
      <c r="O56" s="76"/>
      <c r="P56" s="77"/>
    </row>
    <row r="57" spans="1:16" ht="33" customHeight="1">
      <c r="A57" s="2">
        <f t="shared" si="2"/>
        <v>48</v>
      </c>
      <c r="B57" s="2" t="s">
        <v>489</v>
      </c>
      <c r="C57" s="31" t="s">
        <v>267</v>
      </c>
      <c r="D57" s="32" t="s">
        <v>268</v>
      </c>
      <c r="E57" s="31" t="s">
        <v>254</v>
      </c>
      <c r="F57" s="31" t="s">
        <v>269</v>
      </c>
      <c r="G57" s="33">
        <v>43305</v>
      </c>
      <c r="H57" s="39" t="s">
        <v>249</v>
      </c>
      <c r="I57" s="35"/>
      <c r="J57" s="44" t="s">
        <v>270</v>
      </c>
      <c r="K57" s="45" t="s">
        <v>271</v>
      </c>
      <c r="L57" s="46">
        <v>34304</v>
      </c>
      <c r="M57" s="31" t="s">
        <v>231</v>
      </c>
      <c r="N57" s="69"/>
      <c r="O57" s="76"/>
      <c r="P57" s="77"/>
    </row>
    <row r="58" spans="1:16" ht="33" customHeight="1">
      <c r="A58" s="2">
        <f t="shared" si="2"/>
        <v>49</v>
      </c>
      <c r="B58" s="2" t="s">
        <v>489</v>
      </c>
      <c r="C58" s="31" t="s">
        <v>389</v>
      </c>
      <c r="D58" s="32" t="s">
        <v>390</v>
      </c>
      <c r="E58" s="31" t="s">
        <v>254</v>
      </c>
      <c r="F58" s="31" t="s">
        <v>269</v>
      </c>
      <c r="G58" s="43">
        <v>45036</v>
      </c>
      <c r="H58" s="31" t="s">
        <v>293</v>
      </c>
      <c r="I58" s="28"/>
      <c r="J58" s="56" t="s">
        <v>391</v>
      </c>
      <c r="K58" s="45" t="s">
        <v>392</v>
      </c>
      <c r="L58" s="46">
        <v>36562</v>
      </c>
      <c r="M58" s="31" t="s">
        <v>231</v>
      </c>
      <c r="N58" s="69"/>
      <c r="O58" s="76"/>
      <c r="P58" s="77"/>
    </row>
    <row r="59" spans="1:16" ht="33" customHeight="1">
      <c r="A59" s="2">
        <f t="shared" si="2"/>
        <v>50</v>
      </c>
      <c r="B59" s="2" t="s">
        <v>489</v>
      </c>
      <c r="C59" s="31" t="s">
        <v>416</v>
      </c>
      <c r="D59" s="32" t="s">
        <v>540</v>
      </c>
      <c r="E59" s="31" t="s">
        <v>254</v>
      </c>
      <c r="F59" s="31" t="s">
        <v>269</v>
      </c>
      <c r="G59" s="43">
        <v>45437</v>
      </c>
      <c r="H59" s="31" t="s">
        <v>293</v>
      </c>
      <c r="I59" s="28"/>
      <c r="J59" s="56" t="s">
        <v>417</v>
      </c>
      <c r="K59" s="45" t="s">
        <v>418</v>
      </c>
      <c r="L59" s="46">
        <v>36821</v>
      </c>
      <c r="M59" s="31" t="s">
        <v>480</v>
      </c>
      <c r="N59" s="69"/>
      <c r="O59" s="76"/>
      <c r="P59" s="77"/>
    </row>
    <row r="60" spans="1:16" s="49" customFormat="1" ht="33" customHeight="1">
      <c r="A60" s="2">
        <f t="shared" si="2"/>
        <v>51</v>
      </c>
      <c r="B60" s="2" t="s">
        <v>489</v>
      </c>
      <c r="C60" s="31" t="s">
        <v>427</v>
      </c>
      <c r="D60" s="32" t="s">
        <v>428</v>
      </c>
      <c r="E60" s="31" t="s">
        <v>254</v>
      </c>
      <c r="F60" s="31" t="s">
        <v>269</v>
      </c>
      <c r="G60" s="43">
        <v>45564</v>
      </c>
      <c r="H60" s="31" t="s">
        <v>293</v>
      </c>
      <c r="I60" s="28"/>
      <c r="J60" s="57" t="s">
        <v>429</v>
      </c>
      <c r="K60" s="45" t="s">
        <v>430</v>
      </c>
      <c r="L60" s="58">
        <v>36493</v>
      </c>
      <c r="M60" s="31" t="s">
        <v>231</v>
      </c>
      <c r="N60" s="69"/>
      <c r="O60" s="76"/>
      <c r="P60" s="77"/>
    </row>
    <row r="61" spans="1:16" ht="33" customHeight="1">
      <c r="A61" s="2">
        <f t="shared" si="2"/>
        <v>52</v>
      </c>
      <c r="B61" s="2" t="s">
        <v>489</v>
      </c>
      <c r="C61" s="31" t="s">
        <v>439</v>
      </c>
      <c r="D61" s="32" t="s">
        <v>440</v>
      </c>
      <c r="E61" s="31" t="s">
        <v>254</v>
      </c>
      <c r="F61" s="31" t="s">
        <v>269</v>
      </c>
      <c r="G61" s="43">
        <v>45787</v>
      </c>
      <c r="H61" s="31" t="s">
        <v>293</v>
      </c>
      <c r="I61" s="28"/>
      <c r="J61" s="57" t="s">
        <v>441</v>
      </c>
      <c r="K61" s="45" t="s">
        <v>442</v>
      </c>
      <c r="L61" s="58">
        <v>36131</v>
      </c>
      <c r="M61" s="31" t="s">
        <v>266</v>
      </c>
      <c r="N61" s="69"/>
      <c r="O61" s="76"/>
      <c r="P61" s="77"/>
    </row>
    <row r="62" spans="1:16" ht="33" customHeight="1">
      <c r="A62" s="2">
        <f t="shared" si="2"/>
        <v>53</v>
      </c>
      <c r="B62" s="2" t="s">
        <v>489</v>
      </c>
      <c r="C62" s="31" t="s">
        <v>327</v>
      </c>
      <c r="D62" s="32" t="s">
        <v>328</v>
      </c>
      <c r="E62" s="31" t="s">
        <v>254</v>
      </c>
      <c r="F62" s="31" t="s">
        <v>329</v>
      </c>
      <c r="G62" s="43">
        <v>43603</v>
      </c>
      <c r="H62" s="31" t="s">
        <v>249</v>
      </c>
      <c r="I62" s="35"/>
      <c r="J62" s="44" t="s">
        <v>330</v>
      </c>
      <c r="K62" s="45" t="s">
        <v>331</v>
      </c>
      <c r="L62" s="46">
        <v>34875</v>
      </c>
      <c r="M62" s="31" t="s">
        <v>480</v>
      </c>
      <c r="N62" s="69"/>
      <c r="O62" s="76"/>
      <c r="P62" s="77"/>
    </row>
    <row r="63" spans="1:16" ht="33" customHeight="1">
      <c r="A63" s="2">
        <f t="shared" si="2"/>
        <v>54</v>
      </c>
      <c r="B63" s="2" t="s">
        <v>489</v>
      </c>
      <c r="C63" s="41" t="s">
        <v>341</v>
      </c>
      <c r="D63" s="32" t="s">
        <v>536</v>
      </c>
      <c r="E63" s="31" t="s">
        <v>254</v>
      </c>
      <c r="F63" s="31" t="s">
        <v>329</v>
      </c>
      <c r="G63" s="42">
        <v>43821</v>
      </c>
      <c r="H63" s="31" t="s">
        <v>274</v>
      </c>
      <c r="I63" s="35"/>
      <c r="J63" s="44" t="s">
        <v>342</v>
      </c>
      <c r="K63" s="45" t="s">
        <v>343</v>
      </c>
      <c r="L63" s="46">
        <v>34315</v>
      </c>
      <c r="M63" s="31" t="s">
        <v>480</v>
      </c>
      <c r="N63" s="69"/>
      <c r="O63" s="76"/>
      <c r="P63" s="77"/>
    </row>
    <row r="64" spans="1:16" ht="33" customHeight="1">
      <c r="A64" s="2">
        <f t="shared" si="2"/>
        <v>55</v>
      </c>
      <c r="B64" s="2" t="s">
        <v>489</v>
      </c>
      <c r="C64" s="31" t="s">
        <v>413</v>
      </c>
      <c r="D64" s="32" t="s">
        <v>539</v>
      </c>
      <c r="E64" s="31" t="s">
        <v>254</v>
      </c>
      <c r="F64" s="31" t="s">
        <v>329</v>
      </c>
      <c r="G64" s="43">
        <v>45437</v>
      </c>
      <c r="H64" s="31" t="s">
        <v>293</v>
      </c>
      <c r="I64" s="28"/>
      <c r="J64" s="57" t="s">
        <v>414</v>
      </c>
      <c r="K64" s="45" t="s">
        <v>415</v>
      </c>
      <c r="L64" s="46">
        <v>37204</v>
      </c>
      <c r="M64" s="31" t="s">
        <v>480</v>
      </c>
      <c r="N64" s="69"/>
      <c r="O64" s="76"/>
      <c r="P64" s="77"/>
    </row>
    <row r="65" spans="1:16" ht="33" customHeight="1">
      <c r="A65" s="2">
        <f t="shared" si="2"/>
        <v>56</v>
      </c>
      <c r="B65" s="2" t="s">
        <v>489</v>
      </c>
      <c r="C65" s="31" t="s">
        <v>435</v>
      </c>
      <c r="D65" s="32" t="s">
        <v>436</v>
      </c>
      <c r="E65" s="31" t="s">
        <v>254</v>
      </c>
      <c r="F65" s="31" t="s">
        <v>329</v>
      </c>
      <c r="G65" s="43">
        <v>45780</v>
      </c>
      <c r="H65" s="31" t="s">
        <v>293</v>
      </c>
      <c r="I65" s="28"/>
      <c r="J65" s="62" t="s">
        <v>437</v>
      </c>
      <c r="K65" s="45" t="s">
        <v>438</v>
      </c>
      <c r="L65" s="58">
        <v>36853</v>
      </c>
      <c r="M65" s="31" t="s">
        <v>480</v>
      </c>
      <c r="N65" s="69"/>
      <c r="O65" s="76"/>
      <c r="P65" s="77"/>
    </row>
    <row r="66" spans="1:16" ht="33" customHeight="1">
      <c r="A66" s="2">
        <f t="shared" si="2"/>
        <v>57</v>
      </c>
      <c r="B66" s="2" t="s">
        <v>489</v>
      </c>
      <c r="C66" s="31" t="s">
        <v>459</v>
      </c>
      <c r="D66" s="32" t="s">
        <v>460</v>
      </c>
      <c r="E66" s="31" t="s">
        <v>254</v>
      </c>
      <c r="F66" s="31" t="s">
        <v>329</v>
      </c>
      <c r="G66" s="43">
        <v>46174</v>
      </c>
      <c r="H66" s="31" t="s">
        <v>293</v>
      </c>
      <c r="I66" s="28"/>
      <c r="J66" s="57" t="s">
        <v>461</v>
      </c>
      <c r="K66" s="45" t="s">
        <v>462</v>
      </c>
      <c r="L66" s="58">
        <v>38059</v>
      </c>
      <c r="M66" s="31" t="s">
        <v>480</v>
      </c>
      <c r="N66" s="69"/>
      <c r="O66" s="76"/>
      <c r="P66" s="77"/>
    </row>
    <row r="67" spans="1:16" ht="33" customHeight="1">
      <c r="A67" s="2">
        <f t="shared" si="2"/>
        <v>58</v>
      </c>
      <c r="B67" s="2" t="s">
        <v>489</v>
      </c>
      <c r="C67" s="31" t="s">
        <v>258</v>
      </c>
      <c r="D67" s="32" t="s">
        <v>259</v>
      </c>
      <c r="E67" s="24" t="s">
        <v>254</v>
      </c>
      <c r="F67" s="24" t="s">
        <v>546</v>
      </c>
      <c r="G67" s="27">
        <v>43246</v>
      </c>
      <c r="H67" s="31" t="s">
        <v>249</v>
      </c>
      <c r="I67" s="38"/>
      <c r="J67" s="44" t="s">
        <v>260</v>
      </c>
      <c r="K67" s="45" t="s">
        <v>261</v>
      </c>
      <c r="L67" s="46">
        <v>34821</v>
      </c>
      <c r="M67" s="31" t="s">
        <v>480</v>
      </c>
      <c r="N67" s="69"/>
      <c r="O67" s="76"/>
      <c r="P67" s="77"/>
    </row>
    <row r="68" spans="1:16" ht="33" customHeight="1">
      <c r="A68" s="2">
        <f t="shared" si="2"/>
        <v>59</v>
      </c>
      <c r="B68" s="2" t="s">
        <v>489</v>
      </c>
      <c r="C68" s="31" t="s">
        <v>307</v>
      </c>
      <c r="D68" s="25" t="s">
        <v>308</v>
      </c>
      <c r="E68" s="31" t="s">
        <v>254</v>
      </c>
      <c r="F68" s="31" t="s">
        <v>546</v>
      </c>
      <c r="G68" s="27">
        <v>43414</v>
      </c>
      <c r="H68" s="24" t="s">
        <v>274</v>
      </c>
      <c r="I68" s="35"/>
      <c r="J68" s="44" t="s">
        <v>309</v>
      </c>
      <c r="K68" s="45" t="s">
        <v>310</v>
      </c>
      <c r="L68" s="46">
        <v>34500</v>
      </c>
      <c r="M68" s="31" t="s">
        <v>480</v>
      </c>
      <c r="N68" s="69"/>
      <c r="O68" s="76"/>
      <c r="P68" s="77"/>
    </row>
    <row r="69" spans="1:16" ht="33" customHeight="1">
      <c r="A69" s="2">
        <f t="shared" si="2"/>
        <v>60</v>
      </c>
      <c r="B69" s="2" t="s">
        <v>489</v>
      </c>
      <c r="C69" s="31" t="s">
        <v>377</v>
      </c>
      <c r="D69" s="32" t="s">
        <v>378</v>
      </c>
      <c r="E69" s="31" t="s">
        <v>254</v>
      </c>
      <c r="F69" s="31" t="s">
        <v>546</v>
      </c>
      <c r="G69" s="43">
        <v>44688</v>
      </c>
      <c r="H69" s="31" t="s">
        <v>293</v>
      </c>
      <c r="I69" s="28"/>
      <c r="J69" s="56" t="s">
        <v>485</v>
      </c>
      <c r="K69" s="45" t="s">
        <v>379</v>
      </c>
      <c r="L69" s="46">
        <v>36391</v>
      </c>
      <c r="M69" s="31" t="s">
        <v>231</v>
      </c>
      <c r="N69" s="69"/>
      <c r="O69" s="76"/>
      <c r="P69" s="77"/>
    </row>
    <row r="70" spans="1:16" ht="33" customHeight="1">
      <c r="A70" s="2">
        <f t="shared" si="2"/>
        <v>61</v>
      </c>
      <c r="B70" s="2" t="s">
        <v>489</v>
      </c>
      <c r="C70" s="31" t="s">
        <v>380</v>
      </c>
      <c r="D70" s="32" t="s">
        <v>381</v>
      </c>
      <c r="E70" s="31" t="s">
        <v>254</v>
      </c>
      <c r="F70" s="31" t="s">
        <v>546</v>
      </c>
      <c r="G70" s="43">
        <v>44898</v>
      </c>
      <c r="H70" s="31" t="s">
        <v>293</v>
      </c>
      <c r="I70" s="28"/>
      <c r="J70" s="56" t="s">
        <v>486</v>
      </c>
      <c r="K70" s="45" t="s">
        <v>382</v>
      </c>
      <c r="L70" s="46">
        <v>36490</v>
      </c>
      <c r="M70" s="31" t="s">
        <v>266</v>
      </c>
      <c r="N70" s="69"/>
      <c r="O70" s="76"/>
      <c r="P70" s="77"/>
    </row>
    <row r="71" spans="1:16" ht="33" customHeight="1">
      <c r="A71" s="2">
        <f t="shared" si="2"/>
        <v>62</v>
      </c>
      <c r="B71" s="2" t="s">
        <v>489</v>
      </c>
      <c r="C71" s="31" t="s">
        <v>319</v>
      </c>
      <c r="D71" s="32" t="s">
        <v>320</v>
      </c>
      <c r="E71" s="31" t="s">
        <v>254</v>
      </c>
      <c r="F71" s="31" t="s">
        <v>552</v>
      </c>
      <c r="G71" s="43">
        <v>43449</v>
      </c>
      <c r="H71" s="31" t="s">
        <v>249</v>
      </c>
      <c r="I71" s="34"/>
      <c r="J71" s="44" t="s">
        <v>321</v>
      </c>
      <c r="K71" s="45" t="s">
        <v>322</v>
      </c>
      <c r="L71" s="46">
        <v>34674</v>
      </c>
      <c r="M71" s="31" t="s">
        <v>231</v>
      </c>
      <c r="N71" s="69"/>
      <c r="O71" s="76"/>
      <c r="P71" s="77"/>
    </row>
    <row r="72" spans="1:16" ht="33" customHeight="1">
      <c r="A72" s="2">
        <f t="shared" si="2"/>
        <v>63</v>
      </c>
      <c r="B72" s="2" t="s">
        <v>489</v>
      </c>
      <c r="C72" s="31" t="s">
        <v>323</v>
      </c>
      <c r="D72" s="32" t="s">
        <v>324</v>
      </c>
      <c r="E72" s="31" t="s">
        <v>254</v>
      </c>
      <c r="F72" s="31" t="s">
        <v>552</v>
      </c>
      <c r="G72" s="43">
        <v>44697</v>
      </c>
      <c r="H72" s="31" t="s">
        <v>249</v>
      </c>
      <c r="I72" s="35"/>
      <c r="J72" s="44" t="s">
        <v>325</v>
      </c>
      <c r="K72" s="45" t="s">
        <v>326</v>
      </c>
      <c r="L72" s="46">
        <v>34980</v>
      </c>
      <c r="M72" s="31" t="s">
        <v>231</v>
      </c>
      <c r="N72" s="69"/>
      <c r="O72" s="76"/>
      <c r="P72" s="77"/>
    </row>
    <row r="73" spans="1:16" ht="33" customHeight="1">
      <c r="A73" s="2">
        <f t="shared" si="2"/>
        <v>64</v>
      </c>
      <c r="B73" s="2" t="s">
        <v>489</v>
      </c>
      <c r="C73" s="31" t="s">
        <v>373</v>
      </c>
      <c r="D73" s="32" t="s">
        <v>374</v>
      </c>
      <c r="E73" s="31" t="s">
        <v>254</v>
      </c>
      <c r="F73" s="31" t="s">
        <v>552</v>
      </c>
      <c r="G73" s="43">
        <v>44682</v>
      </c>
      <c r="H73" s="31" t="s">
        <v>293</v>
      </c>
      <c r="I73" s="28"/>
      <c r="J73" s="56" t="s">
        <v>375</v>
      </c>
      <c r="K73" s="45" t="s">
        <v>376</v>
      </c>
      <c r="L73" s="54">
        <v>36078</v>
      </c>
      <c r="M73" s="31" t="s">
        <v>481</v>
      </c>
      <c r="N73" s="69"/>
      <c r="O73" s="76"/>
      <c r="P73" s="77"/>
    </row>
    <row r="74" spans="1:16" s="55" customFormat="1" ht="33" customHeight="1">
      <c r="A74" s="2">
        <f t="shared" si="2"/>
        <v>65</v>
      </c>
      <c r="B74" s="2" t="s">
        <v>489</v>
      </c>
      <c r="C74" s="31" t="s">
        <v>423</v>
      </c>
      <c r="D74" s="32" t="s">
        <v>424</v>
      </c>
      <c r="E74" s="31" t="s">
        <v>254</v>
      </c>
      <c r="F74" s="31" t="s">
        <v>552</v>
      </c>
      <c r="G74" s="43">
        <v>45564</v>
      </c>
      <c r="H74" s="31" t="s">
        <v>293</v>
      </c>
      <c r="I74" s="28"/>
      <c r="J74" s="57" t="s">
        <v>425</v>
      </c>
      <c r="K74" s="45" t="s">
        <v>426</v>
      </c>
      <c r="L74" s="58">
        <v>36937</v>
      </c>
      <c r="M74" s="31" t="s">
        <v>231</v>
      </c>
      <c r="N74" s="69"/>
      <c r="O74" s="76"/>
      <c r="P74" s="77"/>
    </row>
    <row r="75" spans="1:16" ht="33" customHeight="1">
      <c r="A75" s="2">
        <f t="shared" si="2"/>
        <v>66</v>
      </c>
      <c r="B75" s="2" t="s">
        <v>489</v>
      </c>
      <c r="C75" s="31" t="s">
        <v>455</v>
      </c>
      <c r="D75" s="32" t="s">
        <v>456</v>
      </c>
      <c r="E75" s="31" t="s">
        <v>254</v>
      </c>
      <c r="F75" s="31" t="s">
        <v>552</v>
      </c>
      <c r="G75" s="43">
        <v>46174</v>
      </c>
      <c r="H75" s="31" t="s">
        <v>293</v>
      </c>
      <c r="I75" s="28"/>
      <c r="J75" s="57" t="s">
        <v>457</v>
      </c>
      <c r="K75" s="45" t="s">
        <v>458</v>
      </c>
      <c r="L75" s="58">
        <v>37550</v>
      </c>
      <c r="M75" s="31" t="s">
        <v>480</v>
      </c>
      <c r="N75" s="69"/>
      <c r="O75" s="76"/>
      <c r="P75" s="77"/>
    </row>
    <row r="76" spans="1:16" ht="33" customHeight="1">
      <c r="A76" s="2">
        <f t="shared" ref="A76:A101" si="3">A75+1</f>
        <v>67</v>
      </c>
      <c r="B76" s="2" t="s">
        <v>489</v>
      </c>
      <c r="C76" s="31" t="s">
        <v>246</v>
      </c>
      <c r="D76" s="32" t="s">
        <v>247</v>
      </c>
      <c r="E76" s="31" t="s">
        <v>248</v>
      </c>
      <c r="F76" s="31" t="s">
        <v>545</v>
      </c>
      <c r="G76" s="33">
        <v>45726</v>
      </c>
      <c r="H76" s="31" t="s">
        <v>249</v>
      </c>
      <c r="I76" s="34"/>
      <c r="J76" s="44" t="s">
        <v>250</v>
      </c>
      <c r="K76" s="45" t="s">
        <v>251</v>
      </c>
      <c r="L76" s="46">
        <v>34509</v>
      </c>
      <c r="M76" s="31" t="s">
        <v>231</v>
      </c>
      <c r="N76" s="69"/>
      <c r="O76" s="76"/>
      <c r="P76" s="77"/>
    </row>
    <row r="77" spans="1:16" ht="33" customHeight="1">
      <c r="A77" s="2">
        <f t="shared" si="3"/>
        <v>68</v>
      </c>
      <c r="B77" s="2" t="s">
        <v>489</v>
      </c>
      <c r="C77" s="24" t="s">
        <v>304</v>
      </c>
      <c r="D77" s="25" t="s">
        <v>305</v>
      </c>
      <c r="E77" s="31" t="s">
        <v>248</v>
      </c>
      <c r="F77" s="31" t="s">
        <v>545</v>
      </c>
      <c r="G77" s="40">
        <v>43373</v>
      </c>
      <c r="H77" s="24" t="s">
        <v>249</v>
      </c>
      <c r="I77" s="28"/>
      <c r="J77" s="56" t="s">
        <v>483</v>
      </c>
      <c r="K77" s="45" t="s">
        <v>306</v>
      </c>
      <c r="L77" s="46">
        <v>34716</v>
      </c>
      <c r="M77" s="31" t="s">
        <v>231</v>
      </c>
      <c r="N77" s="69"/>
      <c r="O77" s="76"/>
      <c r="P77" s="77"/>
    </row>
    <row r="78" spans="1:16" ht="33" customHeight="1">
      <c r="A78" s="2">
        <f t="shared" si="3"/>
        <v>69</v>
      </c>
      <c r="B78" s="2" t="s">
        <v>489</v>
      </c>
      <c r="C78" s="41" t="s">
        <v>347</v>
      </c>
      <c r="D78" s="32" t="s">
        <v>538</v>
      </c>
      <c r="E78" s="31" t="s">
        <v>248</v>
      </c>
      <c r="F78" s="31" t="s">
        <v>545</v>
      </c>
      <c r="G78" s="42">
        <v>44030</v>
      </c>
      <c r="H78" s="31" t="s">
        <v>274</v>
      </c>
      <c r="I78" s="35"/>
      <c r="J78" s="44" t="s">
        <v>348</v>
      </c>
      <c r="K78" s="45" t="s">
        <v>349</v>
      </c>
      <c r="L78" s="46">
        <v>35320</v>
      </c>
      <c r="M78" s="31" t="s">
        <v>266</v>
      </c>
      <c r="N78" s="69"/>
      <c r="O78" s="76"/>
      <c r="P78" s="77"/>
    </row>
    <row r="79" spans="1:16" ht="33" customHeight="1">
      <c r="A79" s="2">
        <f t="shared" si="3"/>
        <v>70</v>
      </c>
      <c r="B79" s="2" t="s">
        <v>489</v>
      </c>
      <c r="C79" s="41" t="s">
        <v>358</v>
      </c>
      <c r="D79" s="25" t="s">
        <v>359</v>
      </c>
      <c r="E79" s="31" t="s">
        <v>248</v>
      </c>
      <c r="F79" s="31" t="s">
        <v>545</v>
      </c>
      <c r="G79" s="42">
        <v>44366</v>
      </c>
      <c r="H79" s="31" t="s">
        <v>293</v>
      </c>
      <c r="I79" s="35"/>
      <c r="J79" s="61" t="s">
        <v>360</v>
      </c>
      <c r="K79" s="45" t="s">
        <v>361</v>
      </c>
      <c r="L79" s="46">
        <v>36476</v>
      </c>
      <c r="M79" s="31" t="s">
        <v>231</v>
      </c>
      <c r="N79" s="69"/>
      <c r="O79" s="76"/>
      <c r="P79" s="77"/>
    </row>
    <row r="80" spans="1:16" ht="33" customHeight="1">
      <c r="A80" s="2">
        <f t="shared" si="3"/>
        <v>71</v>
      </c>
      <c r="B80" s="2" t="s">
        <v>489</v>
      </c>
      <c r="C80" s="31" t="s">
        <v>366</v>
      </c>
      <c r="D80" s="32" t="s">
        <v>367</v>
      </c>
      <c r="E80" s="31" t="s">
        <v>248</v>
      </c>
      <c r="F80" s="31" t="s">
        <v>545</v>
      </c>
      <c r="G80" s="43">
        <v>44682</v>
      </c>
      <c r="H80" s="31" t="s">
        <v>293</v>
      </c>
      <c r="I80" s="28"/>
      <c r="J80" s="56" t="s">
        <v>368</v>
      </c>
      <c r="K80" s="45" t="s">
        <v>369</v>
      </c>
      <c r="L80" s="46">
        <v>34704</v>
      </c>
      <c r="M80" s="31" t="s">
        <v>480</v>
      </c>
      <c r="N80" s="69"/>
      <c r="O80" s="76"/>
      <c r="P80" s="77"/>
    </row>
    <row r="81" spans="1:16" ht="33" customHeight="1">
      <c r="A81" s="2">
        <f t="shared" si="3"/>
        <v>72</v>
      </c>
      <c r="B81" s="2" t="s">
        <v>489</v>
      </c>
      <c r="C81" s="24" t="s">
        <v>285</v>
      </c>
      <c r="D81" s="25" t="s">
        <v>286</v>
      </c>
      <c r="E81" s="39" t="s">
        <v>248</v>
      </c>
      <c r="F81" s="39" t="s">
        <v>548</v>
      </c>
      <c r="G81" s="40">
        <v>43353</v>
      </c>
      <c r="H81" s="24" t="s">
        <v>249</v>
      </c>
      <c r="I81" s="28"/>
      <c r="J81" s="44" t="s">
        <v>287</v>
      </c>
      <c r="K81" s="45" t="s">
        <v>288</v>
      </c>
      <c r="L81" s="46">
        <v>35201</v>
      </c>
      <c r="M81" s="31" t="s">
        <v>480</v>
      </c>
      <c r="N81" s="69"/>
      <c r="O81" s="76"/>
      <c r="P81" s="77"/>
    </row>
    <row r="82" spans="1:16" ht="33" customHeight="1">
      <c r="A82" s="2">
        <f t="shared" si="3"/>
        <v>73</v>
      </c>
      <c r="B82" s="2" t="s">
        <v>489</v>
      </c>
      <c r="C82" s="24" t="s">
        <v>272</v>
      </c>
      <c r="D82" s="32" t="s">
        <v>273</v>
      </c>
      <c r="E82" s="31" t="s">
        <v>248</v>
      </c>
      <c r="F82" s="31" t="s">
        <v>548</v>
      </c>
      <c r="G82" s="27">
        <v>43352</v>
      </c>
      <c r="H82" s="24" t="s">
        <v>274</v>
      </c>
      <c r="I82" s="28"/>
      <c r="J82" s="44" t="s">
        <v>275</v>
      </c>
      <c r="K82" s="45" t="s">
        <v>276</v>
      </c>
      <c r="L82" s="46">
        <v>33981</v>
      </c>
      <c r="M82" s="31" t="s">
        <v>480</v>
      </c>
      <c r="N82" s="69"/>
      <c r="O82" s="76"/>
      <c r="P82" s="77"/>
    </row>
    <row r="83" spans="1:16" ht="33" customHeight="1">
      <c r="A83" s="2">
        <f t="shared" si="3"/>
        <v>74</v>
      </c>
      <c r="B83" s="2" t="s">
        <v>489</v>
      </c>
      <c r="C83" s="31" t="s">
        <v>386</v>
      </c>
      <c r="D83" s="32" t="s">
        <v>387</v>
      </c>
      <c r="E83" s="31" t="s">
        <v>248</v>
      </c>
      <c r="F83" s="31" t="s">
        <v>548</v>
      </c>
      <c r="G83" s="43">
        <v>44898</v>
      </c>
      <c r="H83" s="31" t="s">
        <v>293</v>
      </c>
      <c r="I83" s="28"/>
      <c r="J83" s="56" t="s">
        <v>488</v>
      </c>
      <c r="K83" s="45" t="s">
        <v>388</v>
      </c>
      <c r="L83" s="46">
        <v>36657</v>
      </c>
      <c r="M83" s="31" t="s">
        <v>231</v>
      </c>
      <c r="N83" s="69"/>
      <c r="O83" s="76"/>
      <c r="P83" s="77"/>
    </row>
    <row r="84" spans="1:16" ht="33" customHeight="1">
      <c r="A84" s="2">
        <f t="shared" si="3"/>
        <v>75</v>
      </c>
      <c r="B84" s="2" t="s">
        <v>489</v>
      </c>
      <c r="C84" s="24" t="s">
        <v>296</v>
      </c>
      <c r="D84" s="25" t="s">
        <v>297</v>
      </c>
      <c r="E84" s="39" t="s">
        <v>248</v>
      </c>
      <c r="F84" s="39" t="s">
        <v>550</v>
      </c>
      <c r="G84" s="40">
        <v>43360</v>
      </c>
      <c r="H84" s="24" t="s">
        <v>249</v>
      </c>
      <c r="I84" s="28"/>
      <c r="J84" s="44" t="s">
        <v>298</v>
      </c>
      <c r="K84" s="45" t="s">
        <v>299</v>
      </c>
      <c r="L84" s="46">
        <v>34986</v>
      </c>
      <c r="M84" s="31" t="s">
        <v>480</v>
      </c>
      <c r="N84" s="69"/>
      <c r="O84" s="76"/>
      <c r="P84" s="77"/>
    </row>
    <row r="85" spans="1:16" ht="33" customHeight="1">
      <c r="A85" s="2">
        <f t="shared" si="3"/>
        <v>76</v>
      </c>
      <c r="B85" s="2" t="s">
        <v>489</v>
      </c>
      <c r="C85" s="31" t="s">
        <v>311</v>
      </c>
      <c r="D85" s="32" t="s">
        <v>312</v>
      </c>
      <c r="E85" s="31" t="s">
        <v>248</v>
      </c>
      <c r="F85" s="31" t="s">
        <v>550</v>
      </c>
      <c r="G85" s="27">
        <v>43449</v>
      </c>
      <c r="H85" s="24" t="s">
        <v>249</v>
      </c>
      <c r="I85" s="35"/>
      <c r="J85" s="44" t="s">
        <v>313</v>
      </c>
      <c r="K85" s="45" t="s">
        <v>314</v>
      </c>
      <c r="L85" s="46">
        <v>34719</v>
      </c>
      <c r="M85" s="31" t="s">
        <v>480</v>
      </c>
      <c r="N85" s="69"/>
      <c r="O85" s="76"/>
      <c r="P85" s="77"/>
    </row>
    <row r="86" spans="1:16" ht="33" customHeight="1">
      <c r="A86" s="2">
        <f t="shared" si="3"/>
        <v>77</v>
      </c>
      <c r="B86" s="2" t="s">
        <v>489</v>
      </c>
      <c r="C86" s="41" t="s">
        <v>354</v>
      </c>
      <c r="D86" s="25" t="s">
        <v>355</v>
      </c>
      <c r="E86" s="31" t="s">
        <v>248</v>
      </c>
      <c r="F86" s="31" t="s">
        <v>550</v>
      </c>
      <c r="G86" s="42">
        <v>44366</v>
      </c>
      <c r="H86" s="24" t="s">
        <v>293</v>
      </c>
      <c r="I86" s="47"/>
      <c r="J86" s="56" t="s">
        <v>356</v>
      </c>
      <c r="K86" s="45" t="s">
        <v>357</v>
      </c>
      <c r="L86" s="46">
        <v>35951</v>
      </c>
      <c r="M86" s="31" t="s">
        <v>231</v>
      </c>
      <c r="N86" s="69"/>
      <c r="O86" s="76"/>
      <c r="P86" s="77"/>
    </row>
    <row r="87" spans="1:16" ht="33" customHeight="1">
      <c r="A87" s="2">
        <f t="shared" si="3"/>
        <v>78</v>
      </c>
      <c r="B87" s="2" t="s">
        <v>489</v>
      </c>
      <c r="C87" s="31" t="s">
        <v>262</v>
      </c>
      <c r="D87" s="32" t="s">
        <v>263</v>
      </c>
      <c r="E87" s="24" t="s">
        <v>248</v>
      </c>
      <c r="F87" s="24" t="s">
        <v>547</v>
      </c>
      <c r="G87" s="33">
        <v>43305</v>
      </c>
      <c r="H87" s="39" t="s">
        <v>249</v>
      </c>
      <c r="I87" s="35"/>
      <c r="J87" s="44" t="s">
        <v>264</v>
      </c>
      <c r="K87" s="45" t="s">
        <v>265</v>
      </c>
      <c r="L87" s="46">
        <v>34761</v>
      </c>
      <c r="M87" s="31" t="s">
        <v>480</v>
      </c>
      <c r="N87" s="69"/>
      <c r="O87" s="76"/>
      <c r="P87" s="77"/>
    </row>
    <row r="88" spans="1:16" ht="33" customHeight="1">
      <c r="A88" s="2">
        <f t="shared" si="3"/>
        <v>79</v>
      </c>
      <c r="B88" s="2" t="s">
        <v>489</v>
      </c>
      <c r="C88" s="31" t="s">
        <v>315</v>
      </c>
      <c r="D88" s="32" t="s">
        <v>316</v>
      </c>
      <c r="E88" s="31" t="s">
        <v>248</v>
      </c>
      <c r="F88" s="31" t="s">
        <v>547</v>
      </c>
      <c r="G88" s="43">
        <v>43449</v>
      </c>
      <c r="H88" s="31" t="s">
        <v>274</v>
      </c>
      <c r="I88" s="35"/>
      <c r="J88" s="44" t="s">
        <v>317</v>
      </c>
      <c r="K88" s="45" t="s">
        <v>318</v>
      </c>
      <c r="L88" s="46">
        <v>34425</v>
      </c>
      <c r="M88" s="31" t="s">
        <v>480</v>
      </c>
      <c r="N88" s="69"/>
      <c r="O88" s="76"/>
      <c r="P88" s="77"/>
    </row>
    <row r="89" spans="1:16" ht="33" customHeight="1">
      <c r="A89" s="2">
        <f t="shared" si="3"/>
        <v>80</v>
      </c>
      <c r="B89" s="2" t="s">
        <v>489</v>
      </c>
      <c r="C89" s="31" t="s">
        <v>393</v>
      </c>
      <c r="D89" s="32" t="s">
        <v>394</v>
      </c>
      <c r="E89" s="31" t="s">
        <v>248</v>
      </c>
      <c r="F89" s="31" t="s">
        <v>547</v>
      </c>
      <c r="G89" s="43">
        <v>45049</v>
      </c>
      <c r="H89" s="31" t="s">
        <v>293</v>
      </c>
      <c r="I89" s="28"/>
      <c r="J89" s="56" t="s">
        <v>395</v>
      </c>
      <c r="K89" s="45" t="s">
        <v>396</v>
      </c>
      <c r="L89" s="46">
        <v>36236</v>
      </c>
      <c r="M89" s="31" t="s">
        <v>231</v>
      </c>
      <c r="N89" s="69"/>
      <c r="O89" s="76"/>
      <c r="P89" s="77"/>
    </row>
    <row r="90" spans="1:16" ht="33" customHeight="1">
      <c r="A90" s="2">
        <f t="shared" si="3"/>
        <v>81</v>
      </c>
      <c r="B90" s="2" t="s">
        <v>489</v>
      </c>
      <c r="C90" s="24" t="s">
        <v>277</v>
      </c>
      <c r="D90" s="32" t="s">
        <v>278</v>
      </c>
      <c r="E90" s="31" t="s">
        <v>248</v>
      </c>
      <c r="F90" s="31" t="s">
        <v>549</v>
      </c>
      <c r="G90" s="40">
        <v>43352</v>
      </c>
      <c r="H90" s="24" t="s">
        <v>249</v>
      </c>
      <c r="I90" s="28"/>
      <c r="J90" s="44" t="s">
        <v>279</v>
      </c>
      <c r="K90" s="45" t="s">
        <v>280</v>
      </c>
      <c r="L90" s="46">
        <v>33971</v>
      </c>
      <c r="M90" s="31" t="s">
        <v>481</v>
      </c>
      <c r="N90" s="69"/>
      <c r="O90" s="76"/>
      <c r="P90" s="77"/>
    </row>
    <row r="91" spans="1:16" ht="33" customHeight="1">
      <c r="A91" s="2">
        <f t="shared" si="3"/>
        <v>82</v>
      </c>
      <c r="B91" s="2" t="s">
        <v>489</v>
      </c>
      <c r="C91" s="24" t="s">
        <v>281</v>
      </c>
      <c r="D91" s="32" t="s">
        <v>282</v>
      </c>
      <c r="E91" s="31" t="s">
        <v>248</v>
      </c>
      <c r="F91" s="31" t="s">
        <v>549</v>
      </c>
      <c r="G91" s="40">
        <v>43352</v>
      </c>
      <c r="H91" s="24" t="s">
        <v>274</v>
      </c>
      <c r="I91" s="28"/>
      <c r="J91" s="44" t="s">
        <v>283</v>
      </c>
      <c r="K91" s="45" t="s">
        <v>284</v>
      </c>
      <c r="L91" s="46">
        <v>35043</v>
      </c>
      <c r="M91" s="31" t="s">
        <v>480</v>
      </c>
      <c r="N91" s="69"/>
      <c r="O91" s="76"/>
      <c r="P91" s="77"/>
    </row>
    <row r="92" spans="1:16" ht="33" customHeight="1">
      <c r="A92" s="2">
        <f t="shared" si="3"/>
        <v>83</v>
      </c>
      <c r="B92" s="2" t="s">
        <v>489</v>
      </c>
      <c r="C92" s="32" t="s">
        <v>475</v>
      </c>
      <c r="D92" s="32" t="s">
        <v>476</v>
      </c>
      <c r="E92" s="31" t="s">
        <v>248</v>
      </c>
      <c r="F92" s="31" t="s">
        <v>549</v>
      </c>
      <c r="G92" s="43">
        <v>46218</v>
      </c>
      <c r="H92" s="31" t="s">
        <v>293</v>
      </c>
      <c r="I92" s="28"/>
      <c r="J92" s="48" t="s">
        <v>477</v>
      </c>
      <c r="K92" s="45" t="s">
        <v>478</v>
      </c>
      <c r="L92" s="37">
        <v>37720</v>
      </c>
      <c r="M92" s="31" t="s">
        <v>231</v>
      </c>
      <c r="N92" s="69"/>
      <c r="O92" s="76"/>
      <c r="P92" s="77"/>
    </row>
    <row r="93" spans="1:16" ht="33" customHeight="1">
      <c r="A93" s="2">
        <f t="shared" si="3"/>
        <v>84</v>
      </c>
      <c r="B93" s="2" t="s">
        <v>489</v>
      </c>
      <c r="C93" s="41" t="s">
        <v>300</v>
      </c>
      <c r="D93" s="25" t="s">
        <v>301</v>
      </c>
      <c r="E93" s="31" t="s">
        <v>248</v>
      </c>
      <c r="F93" s="31" t="s">
        <v>551</v>
      </c>
      <c r="G93" s="42">
        <v>43361</v>
      </c>
      <c r="H93" s="24" t="s">
        <v>249</v>
      </c>
      <c r="I93" s="35"/>
      <c r="J93" s="44" t="s">
        <v>302</v>
      </c>
      <c r="K93" s="45" t="s">
        <v>303</v>
      </c>
      <c r="L93" s="46">
        <v>34403</v>
      </c>
      <c r="M93" s="31" t="s">
        <v>266</v>
      </c>
      <c r="N93" s="69"/>
      <c r="O93" s="76"/>
      <c r="P93" s="77"/>
    </row>
    <row r="94" spans="1:16" ht="33" customHeight="1">
      <c r="A94" s="2">
        <f t="shared" si="3"/>
        <v>85</v>
      </c>
      <c r="B94" s="2" t="s">
        <v>489</v>
      </c>
      <c r="C94" s="24" t="s">
        <v>332</v>
      </c>
      <c r="D94" s="32" t="s">
        <v>333</v>
      </c>
      <c r="E94" s="31" t="s">
        <v>248</v>
      </c>
      <c r="F94" s="31" t="s">
        <v>551</v>
      </c>
      <c r="G94" s="40">
        <v>43709</v>
      </c>
      <c r="H94" s="31" t="s">
        <v>274</v>
      </c>
      <c r="I94" s="28"/>
      <c r="J94" s="44" t="s">
        <v>334</v>
      </c>
      <c r="K94" s="45" t="s">
        <v>335</v>
      </c>
      <c r="L94" s="46">
        <v>34632</v>
      </c>
      <c r="M94" s="31" t="s">
        <v>231</v>
      </c>
      <c r="N94" s="69"/>
      <c r="O94" s="76"/>
      <c r="P94" s="77"/>
    </row>
    <row r="95" spans="1:16" ht="33" customHeight="1">
      <c r="A95" s="2">
        <f t="shared" si="3"/>
        <v>86</v>
      </c>
      <c r="B95" s="2" t="s">
        <v>489</v>
      </c>
      <c r="C95" s="31" t="s">
        <v>401</v>
      </c>
      <c r="D95" s="32" t="s">
        <v>402</v>
      </c>
      <c r="E95" s="31" t="s">
        <v>248</v>
      </c>
      <c r="F95" s="31" t="s">
        <v>551</v>
      </c>
      <c r="G95" s="43">
        <v>45179</v>
      </c>
      <c r="H95" s="31" t="s">
        <v>293</v>
      </c>
      <c r="I95" s="28"/>
      <c r="J95" s="56" t="s">
        <v>403</v>
      </c>
      <c r="K95" s="45" t="s">
        <v>404</v>
      </c>
      <c r="L95" s="46">
        <v>37523</v>
      </c>
      <c r="M95" s="31" t="s">
        <v>480</v>
      </c>
      <c r="N95" s="69"/>
      <c r="O95" s="76"/>
      <c r="P95" s="77"/>
    </row>
    <row r="96" spans="1:16" ht="33" customHeight="1">
      <c r="A96" s="2">
        <f t="shared" si="3"/>
        <v>87</v>
      </c>
      <c r="B96" s="2" t="s">
        <v>489</v>
      </c>
      <c r="C96" s="31" t="s">
        <v>431</v>
      </c>
      <c r="D96" s="32" t="s">
        <v>432</v>
      </c>
      <c r="E96" s="31" t="s">
        <v>248</v>
      </c>
      <c r="F96" s="31" t="s">
        <v>551</v>
      </c>
      <c r="G96" s="43">
        <v>45564</v>
      </c>
      <c r="H96" s="31" t="s">
        <v>293</v>
      </c>
      <c r="I96" s="28"/>
      <c r="J96" s="57" t="s">
        <v>433</v>
      </c>
      <c r="K96" s="45" t="s">
        <v>434</v>
      </c>
      <c r="L96" s="58">
        <v>37788</v>
      </c>
      <c r="M96" s="31" t="s">
        <v>266</v>
      </c>
      <c r="N96" s="69"/>
      <c r="O96" s="76"/>
      <c r="P96" s="77"/>
    </row>
    <row r="97" spans="1:16" ht="33" customHeight="1">
      <c r="A97" s="2">
        <f t="shared" si="3"/>
        <v>88</v>
      </c>
      <c r="B97" s="2" t="s">
        <v>489</v>
      </c>
      <c r="C97" s="31" t="s">
        <v>447</v>
      </c>
      <c r="D97" s="32" t="s">
        <v>448</v>
      </c>
      <c r="E97" s="31" t="s">
        <v>248</v>
      </c>
      <c r="F97" s="31" t="s">
        <v>551</v>
      </c>
      <c r="G97" s="43">
        <v>45907</v>
      </c>
      <c r="H97" s="31" t="s">
        <v>293</v>
      </c>
      <c r="I97" s="28"/>
      <c r="J97" s="57" t="s">
        <v>449</v>
      </c>
      <c r="K97" s="45" t="s">
        <v>450</v>
      </c>
      <c r="L97" s="58">
        <v>36270</v>
      </c>
      <c r="M97" s="31" t="s">
        <v>231</v>
      </c>
      <c r="N97" s="69"/>
      <c r="O97" s="76"/>
      <c r="P97" s="77"/>
    </row>
    <row r="98" spans="1:16" ht="33" customHeight="1">
      <c r="A98" s="2">
        <f t="shared" si="3"/>
        <v>89</v>
      </c>
      <c r="B98" s="2" t="s">
        <v>489</v>
      </c>
      <c r="C98" s="31" t="s">
        <v>397</v>
      </c>
      <c r="D98" s="32" t="s">
        <v>398</v>
      </c>
      <c r="E98" s="31" t="s">
        <v>543</v>
      </c>
      <c r="F98" s="31" t="s">
        <v>543</v>
      </c>
      <c r="G98" s="43">
        <v>45124</v>
      </c>
      <c r="H98" s="31" t="s">
        <v>293</v>
      </c>
      <c r="I98" s="28"/>
      <c r="J98" s="56" t="s">
        <v>399</v>
      </c>
      <c r="K98" s="45" t="s">
        <v>400</v>
      </c>
      <c r="L98" s="46">
        <v>36213</v>
      </c>
      <c r="M98" s="31" t="s">
        <v>481</v>
      </c>
      <c r="N98" s="69"/>
      <c r="O98" s="76"/>
      <c r="P98" s="77"/>
    </row>
    <row r="99" spans="1:16" ht="33" customHeight="1">
      <c r="A99" s="2">
        <f t="shared" si="3"/>
        <v>90</v>
      </c>
      <c r="B99" s="2" t="s">
        <v>489</v>
      </c>
      <c r="C99" s="31" t="s">
        <v>443</v>
      </c>
      <c r="D99" s="32" t="s">
        <v>444</v>
      </c>
      <c r="E99" s="31" t="s">
        <v>543</v>
      </c>
      <c r="F99" s="31" t="s">
        <v>543</v>
      </c>
      <c r="G99" s="43">
        <v>45822</v>
      </c>
      <c r="H99" s="31" t="s">
        <v>293</v>
      </c>
      <c r="I99" s="28"/>
      <c r="J99" s="57" t="s">
        <v>445</v>
      </c>
      <c r="K99" s="45" t="s">
        <v>446</v>
      </c>
      <c r="L99" s="58">
        <v>36526</v>
      </c>
      <c r="M99" s="31" t="s">
        <v>480</v>
      </c>
      <c r="N99" s="69"/>
      <c r="O99" s="76"/>
      <c r="P99" s="77"/>
    </row>
    <row r="100" spans="1:16" ht="33" customHeight="1">
      <c r="A100" s="2">
        <f t="shared" si="3"/>
        <v>91</v>
      </c>
      <c r="B100" s="2" t="s">
        <v>489</v>
      </c>
      <c r="C100" s="31" t="s">
        <v>419</v>
      </c>
      <c r="D100" s="32" t="s">
        <v>420</v>
      </c>
      <c r="E100" s="17" t="s">
        <v>234</v>
      </c>
      <c r="F100" s="60" t="s">
        <v>544</v>
      </c>
      <c r="G100" s="43">
        <v>45437</v>
      </c>
      <c r="H100" s="31" t="s">
        <v>249</v>
      </c>
      <c r="I100" s="28"/>
      <c r="J100" s="57" t="s">
        <v>421</v>
      </c>
      <c r="K100" s="45" t="s">
        <v>422</v>
      </c>
      <c r="L100" s="58">
        <v>35882</v>
      </c>
      <c r="M100" s="31" t="s">
        <v>266</v>
      </c>
      <c r="N100" s="69"/>
      <c r="O100" s="76"/>
      <c r="P100" s="77"/>
    </row>
    <row r="101" spans="1:16" ht="33" customHeight="1" thickBot="1">
      <c r="A101" s="2">
        <f t="shared" si="3"/>
        <v>92</v>
      </c>
      <c r="B101" s="2" t="s">
        <v>489</v>
      </c>
      <c r="C101" s="31" t="s">
        <v>471</v>
      </c>
      <c r="D101" s="32" t="s">
        <v>472</v>
      </c>
      <c r="E101" s="17" t="s">
        <v>234</v>
      </c>
      <c r="F101" s="60" t="s">
        <v>544</v>
      </c>
      <c r="G101" s="43">
        <v>46179</v>
      </c>
      <c r="H101" s="31" t="s">
        <v>293</v>
      </c>
      <c r="I101" s="28"/>
      <c r="J101" s="57" t="s">
        <v>473</v>
      </c>
      <c r="K101" s="45" t="s">
        <v>474</v>
      </c>
      <c r="L101" s="58">
        <v>36968</v>
      </c>
      <c r="M101" s="31" t="s">
        <v>266</v>
      </c>
      <c r="N101" s="69"/>
      <c r="O101" s="78"/>
      <c r="P101" s="79"/>
    </row>
    <row r="102" spans="1:16" ht="33" customHeight="1" thickTop="1"/>
  </sheetData>
  <autoFilter ref="A9:N101"/>
  <sortState ref="A45:N100">
    <sortCondition ref="E45:E100"/>
    <sortCondition ref="F45:F100"/>
    <sortCondition ref="H45:H100" customList="부장,팀장,부팀장,사원,실습"/>
  </sortState>
  <mergeCells count="1">
    <mergeCell ref="A2:N2"/>
  </mergeCells>
  <phoneticPr fontId="13" type="noConversion"/>
  <hyperlinks>
    <hyperlink ref="K39" r:id="rId1" display="jhyang@con-cost.com"/>
  </hyperlinks>
  <pageMargins left="0.25" right="0.25" top="0.75" bottom="0.75" header="0.3" footer="0.3"/>
  <pageSetup paperSize="9" scale="41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2026인력현황</vt:lpstr>
      <vt:lpstr>'2026인력현황'!Print_Area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김영은</dc:creator>
  <cp:lastModifiedBy>유종욱</cp:lastModifiedBy>
  <cp:lastPrinted>2026-06-23T08:33:08Z</cp:lastPrinted>
  <dcterms:created xsi:type="dcterms:W3CDTF">2026-06-23T07:10:00Z</dcterms:created>
  <dcterms:modified xsi:type="dcterms:W3CDTF">2026-09-17T07:47:46Z</dcterms:modified>
</cp:coreProperties>
</file>